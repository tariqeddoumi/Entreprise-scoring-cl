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ez-moi" sheetId="1" state="visible" r:id="rId3"/>
    <sheet name="Simulateur" sheetId="2" state="visible" r:id="rId4"/>
    <sheet name="Paramètres" sheetId="3" state="visible" r:id="rId5"/>
    <sheet name="Grille" sheetId="4" state="visible" r:id="rId6"/>
    <sheet name="Cas exemp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" authorId="0">
      <text>
        <r>
          <rPr>
            <sz val="10"/>
            <rFont val="Arial"/>
            <family val="2"/>
          </rPr>
          <t xml:space="preserve">Cellules sur fond orangé, texte bleu : saisies. Les colonnes « Retenu » sont calculées : elles reprennent la saisie, ou le cas exemple choisi en D4.</t>
        </r>
      </text>
    </comment>
  </commentList>
</comments>
</file>

<file path=xl/sharedStrings.xml><?xml version="1.0" encoding="utf-8"?>
<sst xmlns="http://schemas.openxmlformats.org/spreadsheetml/2006/main" count="1399" uniqueCount="694">
  <si>
    <t xml:space="preserve">SIMULATEUR DE LA GRILLE DE NOTATION</t>
  </si>
  <si>
    <t xml:space="preserve">Groupe BCP — modèle de notation interne des entreprises (TPE, PME, grandes entreprises). Outil pédagogique : seuls les résultats de l'outil de notation font foi.</t>
  </si>
  <si>
    <t xml:space="preserve">À quoi il sert</t>
  </si>
  <si>
    <t xml:space="preserve">Comprendre comment la note se construit : simuler un dossier, voir l'effet d'un ratio, d'une donnée manquante, d'une exception ou d'un défaut, et rejouer les cas présentés au management.</t>
  </si>
  <si>
    <t xml:space="preserve">Onglet Simulateur</t>
  </si>
  <si>
    <t xml:space="preserve">1) Choisissez « Saisie libre » ou un cas exemple (cellule D4). 2) Renseignez le cadrage et les 45 critères. 3) Lisez le résultat en haut à droite : statut, grade final, score brut, couverture, exceptions, support groupe.</t>
  </si>
  <si>
    <t xml:space="preserve">Saisir un critère</t>
  </si>
  <si>
    <t xml:space="preserve">Ratio : la valeur, dans l'unité indiquée (ex. 30 pour 30 %, 1,4 pour 1,4x, 20 pour 20 jours). Qualitatif : le repère 100, 75, 50, 25 ou 0 ; son libellé s'affiche dans la dernière colonne, et tous les repères sont dans l'onglet Grille.</t>
  </si>
  <si>
    <t xml:space="preserve">Statut d'une donnée</t>
  </si>
  <si>
    <t xml:space="preserve">Disponible : observée, compte dans la couverture. Estimée : compte dans le score, pas dans la couverture. Manquante (ou valeur vide) : score prudent de 25, pas dans la couverture ; une donnée critique manquante (D1.4, D1.5, D3.1) empêche toute notation.</t>
  </si>
  <si>
    <t xml:space="preserve">Ordre du calcul</t>
  </si>
  <si>
    <t xml:space="preserve">Score de chaque critère → poids du segment (le poids d'un critère ESG non matériel passe à son critère receveur) → score brut = moyenne pondérée → défaut constaté ? (grade DEF) → porte de qualité (60 % du poids observé, 30 % par domaine, confiance au moins C) → grade issu du score → exceptions (plafonds) → support groupe (2 crans au plus, si les 4 conditions sont réunies).</t>
  </si>
  <si>
    <t xml:space="preserve">Légende des couleurs</t>
  </si>
  <si>
    <t xml:space="preserve">Fond orangé, texte bleu : cellule à saisir. Fond crème : calcul. Score en vert : 75 ou plus ; en rouge : 25 ou moins. Les onglets Paramètres et Grille reprennent les valeurs du modèle et peuvent être modifiés pour tester une sensibilité.</t>
  </si>
  <si>
    <t xml:space="preserve">Ce que le simulateur ne fait pas</t>
  </si>
  <si>
    <t xml:space="preserve">Segmentation automatique à partir du chiffre d'affaires (le segment est choisi), cas particuliers de certains ratios, contrôles de cohérence et explications détaillées, conversion des devises, circuit de validation. Il ne remplace pas l'outil.</t>
  </si>
  <si>
    <t xml:space="preserve">Contrôle</t>
  </si>
  <si>
    <t xml:space="preserve">Les cinq cas exemples ont été calculés par le moteur de l'outil ; en les chargeant, la ligne « Contrôle » du simulateur affiche « concordant » quand le simulateur retrouve le même grade.</t>
  </si>
  <si>
    <t xml:space="preserve">SIMULATEUR DE NOTATION — MODÈLE STANDARD ENTREPRISES</t>
  </si>
  <si>
    <t xml:space="preserve">Modèle CORP_STD_V1 v3.0.0. Saisissez dans les cellules sur fond orangé (texte bleu), ou chargez un cas exemple. Les calculs reproduisent le moteur de l'outil ; seuls les résultats de l'outil font foi.</t>
  </si>
  <si>
    <t xml:space="preserve">Cas chargé</t>
  </si>
  <si>
    <t xml:space="preserve">Saisie libre</t>
  </si>
  <si>
    <t xml:space="preserve">« Saisie libre » : vos saisies sont utilisées. Un cas exemple remplace toutes les saisies par celles du cas (colonne « Retenu »).</t>
  </si>
  <si>
    <t xml:space="preserve">1. Cadrage du dossier</t>
  </si>
  <si>
    <t xml:space="preserve">Élément</t>
  </si>
  <si>
    <t xml:space="preserve">Saisie</t>
  </si>
  <si>
    <t xml:space="preserve">Retenu</t>
  </si>
  <si>
    <t xml:space="preserve">Résultat</t>
  </si>
  <si>
    <t xml:space="preserve">Valeur</t>
  </si>
  <si>
    <t xml:space="preserve">Contrepartie</t>
  </si>
  <si>
    <t xml:space="preserve">Entreprise exemple</t>
  </si>
  <si>
    <t xml:space="preserve">Statut de la notation</t>
  </si>
  <si>
    <t xml:space="preserve">Segment (TPE, PME, GE)</t>
  </si>
  <si>
    <t xml:space="preserve">PME</t>
  </si>
  <si>
    <t xml:space="preserve">Grade final</t>
  </si>
  <si>
    <t xml:space="preserve">Risque climatique physique matériel ? (sinon D7.1 écarté, poids vers D7.3)</t>
  </si>
  <si>
    <t xml:space="preserve">Non</t>
  </si>
  <si>
    <t xml:space="preserve">Score brut (0 à 100)</t>
  </si>
  <si>
    <t xml:space="preserve">Risque de transition matériel ? (sinon D7.2 écarté, poids vers D7.4)</t>
  </si>
  <si>
    <t xml:space="preserve">Grade issu du score</t>
  </si>
  <si>
    <t xml:space="preserve">Confiance — complétude du dossier (0 à 100)</t>
  </si>
  <si>
    <t xml:space="preserve">Couverture observée (minimum 60 %)</t>
  </si>
  <si>
    <t xml:space="preserve">Confiance — fraîcheur des données</t>
  </si>
  <si>
    <t xml:space="preserve">Domaines sous le seuil de couverture</t>
  </si>
  <si>
    <t xml:space="preserve">Confiance — fiabilité des sources</t>
  </si>
  <si>
    <t xml:space="preserve">Confiance (score / classe)</t>
  </si>
  <si>
    <t xml:space="preserve">Confiance — provenance (certifiée, déclarative…)</t>
  </si>
  <si>
    <t xml:space="preserve">Données critiques manquantes</t>
  </si>
  <si>
    <t xml:space="preserve">Exception NC01 — Couverture du service de la dette inférieure à 1 en scénario de base</t>
  </si>
  <si>
    <t xml:space="preserve">Exceptions appliquées</t>
  </si>
  <si>
    <t xml:space="preserve">Exception NC02 — Incertitude matérielle sur la continuité d'exploitation</t>
  </si>
  <si>
    <t xml:space="preserve">Note autonome (après exceptions)</t>
  </si>
  <si>
    <t xml:space="preserve">Exception NC03 — Excédent brut d'exploitation négatif deux années sur trois</t>
  </si>
  <si>
    <t xml:space="preserve">Support groupe</t>
  </si>
  <si>
    <t xml:space="preserve">Exception NC04 — Dossier groupe incomplet alors que le groupe est matériel</t>
  </si>
  <si>
    <t xml:space="preserve">Conformité</t>
  </si>
  <si>
    <t xml:space="preserve">Red flag conformité bloquant (RF01, RF02, RF03, RF04)</t>
  </si>
  <si>
    <t xml:space="preserve">Contrôle : résultat du moteur de l'outil pour ce cas</t>
  </si>
  <si>
    <t xml:space="preserve">Red flag à revoir (retards 31-89 j, covenant rompu, litige…)</t>
  </si>
  <si>
    <t xml:space="preserve">Défaut constaté (impayé &gt; 90 j, restructuration, procédure)</t>
  </si>
  <si>
    <t xml:space="preserve">Grade de défaut (DEF1, DEF2, DEF3)</t>
  </si>
  <si>
    <t xml:space="preserve">DEF1</t>
  </si>
  <si>
    <t xml:space="preserve">Support groupe demandé</t>
  </si>
  <si>
    <t xml:space="preserve">Support — capacité du garant documentée</t>
  </si>
  <si>
    <t xml:space="preserve">Support — volonté de soutien démontrée</t>
  </si>
  <si>
    <t xml:space="preserve">Support — engagement juridiquement contraignant</t>
  </si>
  <si>
    <t xml:space="preserve">Support — transférabilité des fonds établie</t>
  </si>
  <si>
    <t xml:space="preserve">Support — crans demandés (0 à 2)</t>
  </si>
  <si>
    <t xml:space="preserve">2. Critères — saisie et calcul</t>
  </si>
  <si>
    <t xml:space="preserve">Code</t>
  </si>
  <si>
    <t xml:space="preserve">Domaine</t>
  </si>
  <si>
    <t xml:space="preserve">Critère</t>
  </si>
  <si>
    <t xml:space="preserve">Type</t>
  </si>
  <si>
    <t xml:space="preserve">Unité</t>
  </si>
  <si>
    <t xml:space="preserve">Critique</t>
  </si>
  <si>
    <t xml:space="preserve">Statut saisi</t>
  </si>
  <si>
    <t xml:space="preserve">Valeur saisie</t>
  </si>
  <si>
    <t xml:space="preserve">Statut retenu</t>
  </si>
  <si>
    <t xml:space="preserve">Valeur retenue</t>
  </si>
  <si>
    <t xml:space="preserve">Score</t>
  </si>
  <si>
    <t xml:space="preserve">Poids nominal</t>
  </si>
  <si>
    <t xml:space="preserve">Poids effectif</t>
  </si>
  <si>
    <t xml:space="preserve">Poids observé</t>
  </si>
  <si>
    <t xml:space="preserve">Contribution</t>
  </si>
  <si>
    <t xml:space="preserve">Barème ou repère retenu</t>
  </si>
  <si>
    <t xml:space="preserve">D1.1</t>
  </si>
  <si>
    <t xml:space="preserve">D1</t>
  </si>
  <si>
    <t xml:space="preserve">Croissance et stabilité du chiffre d'affaires</t>
  </si>
  <si>
    <t xml:space="preserve">Qualitatif</t>
  </si>
  <si>
    <t xml:space="preserve">Disponible</t>
  </si>
  <si>
    <t xml:space="preserve">D1.2</t>
  </si>
  <si>
    <t xml:space="preserve">Marge EBITDA / performance opérationnelle</t>
  </si>
  <si>
    <t xml:space="preserve">D1.3</t>
  </si>
  <si>
    <t xml:space="preserve">Rentabilité économique / ROA ajusté</t>
  </si>
  <si>
    <t xml:space="preserve">D1.4</t>
  </si>
  <si>
    <t xml:space="preserve">Fonds propres tangibles / total bilan</t>
  </si>
  <si>
    <t xml:space="preserve">Ratio</t>
  </si>
  <si>
    <t xml:space="preserve">%</t>
  </si>
  <si>
    <t xml:space="preserve">Oui</t>
  </si>
  <si>
    <t xml:space="preserve">D1.5</t>
  </si>
  <si>
    <t xml:space="preserve">Dette financière nette / EBITDA ajusté</t>
  </si>
  <si>
    <t xml:space="preserve">x</t>
  </si>
  <si>
    <t xml:space="preserve">D1.6</t>
  </si>
  <si>
    <t xml:space="preserve">Liquidité court terme</t>
  </si>
  <si>
    <t xml:space="preserve">D1.7</t>
  </si>
  <si>
    <t xml:space="preserve">BFR et cycle de conversion de trésorerie</t>
  </si>
  <si>
    <t xml:space="preserve">D1.8</t>
  </si>
  <si>
    <t xml:space="preserve">Conversion EBITDA en cash-flow opérationnel</t>
  </si>
  <si>
    <t xml:space="preserve">D2.1</t>
  </si>
  <si>
    <t xml:space="preserve">D2</t>
  </si>
  <si>
    <t xml:space="preserve">Couverture des intérêts</t>
  </si>
  <si>
    <t xml:space="preserve">D2.2</t>
  </si>
  <si>
    <t xml:space="preserve">DSCR / couverture du service de la dette</t>
  </si>
  <si>
    <t xml:space="preserve">D2.3</t>
  </si>
  <si>
    <t xml:space="preserve">Free cash-flow / dette financière</t>
  </si>
  <si>
    <t xml:space="preserve">D2.4</t>
  </si>
  <si>
    <t xml:space="preserve">Liquidité disponible et mur de dette</t>
  </si>
  <si>
    <t xml:space="preserve">D2.5</t>
  </si>
  <si>
    <t xml:space="preserve">Résistance au scénario de stress</t>
  </si>
  <si>
    <t xml:space="preserve">D2.6</t>
  </si>
  <si>
    <t xml:space="preserve">Covenants et marge de sécurité</t>
  </si>
  <si>
    <t xml:space="preserve">D3.1</t>
  </si>
  <si>
    <t xml:space="preserve">D3</t>
  </si>
  <si>
    <t xml:space="preserve">Retards de paiement / DPD</t>
  </si>
  <si>
    <t xml:space="preserve">j</t>
  </si>
  <si>
    <t xml:space="preserve">D3.2</t>
  </si>
  <si>
    <t xml:space="preserve">Dépassements et irrégularités de compte</t>
  </si>
  <si>
    <t xml:space="preserve">D3.3</t>
  </si>
  <si>
    <t xml:space="preserve">Utilisation des lignes</t>
  </si>
  <si>
    <t xml:space="preserve">D3.4</t>
  </si>
  <si>
    <t xml:space="preserve">Mouvements créditeurs et domiciliation</t>
  </si>
  <si>
    <t xml:space="preserve">D3.5</t>
  </si>
  <si>
    <t xml:space="preserve">Incidents chèques et effets de commerce</t>
  </si>
  <si>
    <t xml:space="preserve">D3.6</t>
  </si>
  <si>
    <t xml:space="preserve">Restructuration et forbearance</t>
  </si>
  <si>
    <t xml:space="preserve">D3.7</t>
  </si>
  <si>
    <t xml:space="preserve">Tendance de l'endettement système et groupe</t>
  </si>
  <si>
    <t xml:space="preserve">D4.1</t>
  </si>
  <si>
    <t xml:space="preserve">D4</t>
  </si>
  <si>
    <t xml:space="preserve">Risque sectoriel interne</t>
  </si>
  <si>
    <t xml:space="preserve">D4.2</t>
  </si>
  <si>
    <t xml:space="preserve">Position concurrentielle</t>
  </si>
  <si>
    <t xml:space="preserve">D4.3</t>
  </si>
  <si>
    <t xml:space="preserve">Concentration clients</t>
  </si>
  <si>
    <t xml:space="preserve">D4.4</t>
  </si>
  <si>
    <t xml:space="preserve">Concentration fournisseurs</t>
  </si>
  <si>
    <t xml:space="preserve">D4.5</t>
  </si>
  <si>
    <t xml:space="preserve">Visibilité des revenus / carnet de commandes</t>
  </si>
  <si>
    <t xml:space="preserve">D4.6</t>
  </si>
  <si>
    <t xml:space="preserve">Exposition pays, change et matières premières</t>
  </si>
  <si>
    <t xml:space="preserve">D4.7</t>
  </si>
  <si>
    <t xml:space="preserve">Risque opérationnel, technologie et capex</t>
  </si>
  <si>
    <t xml:space="preserve">D4.8</t>
  </si>
  <si>
    <t xml:space="preserve">Qualité et soutenabilité de la croissance</t>
  </si>
  <si>
    <t xml:space="preserve">D5.1</t>
  </si>
  <si>
    <t xml:space="preserve">D5</t>
  </si>
  <si>
    <t xml:space="preserve">Expérience et stabilité du management</t>
  </si>
  <si>
    <t xml:space="preserve">D5.2</t>
  </si>
  <si>
    <t xml:space="preserve">Dépendance homme-clé et succession</t>
  </si>
  <si>
    <t xml:space="preserve">D5.3</t>
  </si>
  <si>
    <t xml:space="preserve">Gouvernance et contrôle interne</t>
  </si>
  <si>
    <t xml:space="preserve">D5.4</t>
  </si>
  <si>
    <t xml:space="preserve">Actionnariat, groupe et soutien</t>
  </si>
  <si>
    <t xml:space="preserve">D5.5</t>
  </si>
  <si>
    <t xml:space="preserve">Stratégie et qualité d'exécution</t>
  </si>
  <si>
    <t xml:space="preserve">D5.6</t>
  </si>
  <si>
    <t xml:space="preserve">Transactions avec parties liées</t>
  </si>
  <si>
    <t xml:space="preserve">D5.7</t>
  </si>
  <si>
    <t xml:space="preserve">Pilotage financier et culture du risque</t>
  </si>
  <si>
    <t xml:space="preserve">D6.1</t>
  </si>
  <si>
    <t xml:space="preserve">D6</t>
  </si>
  <si>
    <t xml:space="preserve">Qualité / certification des états financiers</t>
  </si>
  <si>
    <t xml:space="preserve">D6.2</t>
  </si>
  <si>
    <t xml:space="preserve">Délai de production de l'information</t>
  </si>
  <si>
    <t xml:space="preserve">D6.3</t>
  </si>
  <si>
    <t xml:space="preserve">Cohérence et rapprochements</t>
  </si>
  <si>
    <t xml:space="preserve">D6.4</t>
  </si>
  <si>
    <t xml:space="preserve">Situation juridique, fiscale et sociale</t>
  </si>
  <si>
    <t xml:space="preserve">D6.5</t>
  </si>
  <si>
    <t xml:space="preserve">Transparence actionnariat et documents</t>
  </si>
  <si>
    <t xml:space="preserve">D7.1</t>
  </si>
  <si>
    <t xml:space="preserve">D7</t>
  </si>
  <si>
    <t xml:space="preserve">Risque climatique physique</t>
  </si>
  <si>
    <t xml:space="preserve">D7.2</t>
  </si>
  <si>
    <t xml:space="preserve">Risque de transition</t>
  </si>
  <si>
    <t xml:space="preserve">D7.3</t>
  </si>
  <si>
    <t xml:space="preserve">Conformité environnementale et sociale</t>
  </si>
  <si>
    <t xml:space="preserve">D7.4</t>
  </si>
  <si>
    <t xml:space="preserve">Gouvernance ESG et plan d'adaptation</t>
  </si>
  <si>
    <t xml:space="preserve">3. Synthèse par domaine</t>
  </si>
  <si>
    <t xml:space="preserve">Libellé</t>
  </si>
  <si>
    <t xml:space="preserve">Poids</t>
  </si>
  <si>
    <t xml:space="preserve">Part observée</t>
  </si>
  <si>
    <t xml:space="preserve">Sous le seuil ?</t>
  </si>
  <si>
    <t xml:space="preserve">Performance financière et structure bilancielle</t>
  </si>
  <si>
    <t xml:space="preserve">Capacité de remboursement et stress</t>
  </si>
  <si>
    <t xml:space="preserve">Comportement bancaire et historique de crédit</t>
  </si>
  <si>
    <t xml:space="preserve">Activité, secteur et positionnement</t>
  </si>
  <si>
    <t xml:space="preserve">Management, gouvernance et groupe</t>
  </si>
  <si>
    <t xml:space="preserve">Transparence et conformité</t>
  </si>
  <si>
    <t xml:space="preserve">ESG et climat</t>
  </si>
  <si>
    <t xml:space="preserve">PARAMÈTRES DU MODÈLE</t>
  </si>
  <si>
    <t xml:space="preserve">Valeurs du modèle CORP_STD_V1 v3.0.0, reprises du moteur de l'outil. Modifiables pour tester une sensibilité : les cellules sur fond orangé sont utilisées par toutes les formules du simulateur.</t>
  </si>
  <si>
    <t xml:space="preserve">Paramètre</t>
  </si>
  <si>
    <t xml:space="preserve">Source et commentaire</t>
  </si>
  <si>
    <t xml:space="preserve">Score d'une donnée absente ou périmée (sur 100)</t>
  </si>
  <si>
    <t xml:space="preserve">Score prudent du modèle (unavailableScore) ; point ouvert D-32 : peut améliorer un critère très mauvais.</t>
  </si>
  <si>
    <t xml:space="preserve">Couverture observée minimale — global</t>
  </si>
  <si>
    <t xml:space="preserve">Part du poids portée par une donnée observée (statut Disponible).</t>
  </si>
  <si>
    <t xml:space="preserve">Couverture observée minimale — par domaine</t>
  </si>
  <si>
    <t xml:space="preserve">Sous ce seuil dans un domaine, aucun grade n'est produit.</t>
  </si>
  <si>
    <t xml:space="preserve">Poids de la complétude dans la confiance</t>
  </si>
  <si>
    <t xml:space="preserve">Classe de confiance : informative, ne modifie jamais le grade.</t>
  </si>
  <si>
    <t xml:space="preserve">Poids de la fraîcheur</t>
  </si>
  <si>
    <t xml:space="preserve">Poids de la fiabilité</t>
  </si>
  <si>
    <t xml:space="preserve">Poids de la provenance</t>
  </si>
  <si>
    <t xml:space="preserve">Confiance — seuil de la classe A</t>
  </si>
  <si>
    <t xml:space="preserve">Élevée</t>
  </si>
  <si>
    <t xml:space="preserve">Confiance — seuil de la classe B</t>
  </si>
  <si>
    <t xml:space="preserve">Moyenne</t>
  </si>
  <si>
    <t xml:space="preserve">Confiance — seuil de la classe C (minimum pour un grade)</t>
  </si>
  <si>
    <t xml:space="preserve">Sous ce seuil (classe U) : aucun grade.</t>
  </si>
  <si>
    <t xml:space="preserve">Support groupe — crans maximum</t>
  </si>
  <si>
    <t xml:space="preserve">Si les quatre conditions sont documentées.</t>
  </si>
  <si>
    <t xml:space="preserve">Échelle de grades du modèle standard</t>
  </si>
  <si>
    <t xml:space="preserve">Grade</t>
  </si>
  <si>
    <t xml:space="preserve">Score minimum</t>
  </si>
  <si>
    <t xml:space="preserve">Lecture</t>
  </si>
  <si>
    <t xml:space="preserve">STD-P1</t>
  </si>
  <si>
    <t xml:space="preserve">Très solide</t>
  </si>
  <si>
    <t xml:space="preserve">STD-P2</t>
  </si>
  <si>
    <t xml:space="preserve">Solide</t>
  </si>
  <si>
    <t xml:space="preserve">STD-P3</t>
  </si>
  <si>
    <t xml:space="preserve">Bon</t>
  </si>
  <si>
    <t xml:space="preserve">STD-P4</t>
  </si>
  <si>
    <t xml:space="preserve">Satisfaisant</t>
  </si>
  <si>
    <t xml:space="preserve">STD-P5</t>
  </si>
  <si>
    <t xml:space="preserve">Acceptable</t>
  </si>
  <si>
    <t xml:space="preserve">STD-P6</t>
  </si>
  <si>
    <t xml:space="preserve">Fragile</t>
  </si>
  <si>
    <t xml:space="preserve">STD-P7</t>
  </si>
  <si>
    <t xml:space="preserve">Faible</t>
  </si>
  <si>
    <t xml:space="preserve">STD-P8</t>
  </si>
  <si>
    <t xml:space="preserve">Très faible</t>
  </si>
  <si>
    <t xml:space="preserve">Exceptions non compensatoires (plafonds)</t>
  </si>
  <si>
    <t xml:space="preserve">Exception</t>
  </si>
  <si>
    <t xml:space="preserve">Grade plafond</t>
  </si>
  <si>
    <t xml:space="preserve">Situation</t>
  </si>
  <si>
    <t xml:space="preserve">NC01</t>
  </si>
  <si>
    <t xml:space="preserve">Couverture du service de la dette inférieure à 1 en scénario de base</t>
  </si>
  <si>
    <t xml:space="preserve">NC02</t>
  </si>
  <si>
    <t xml:space="preserve">Incertitude matérielle sur la continuité d'exploitation</t>
  </si>
  <si>
    <t xml:space="preserve">NC03</t>
  </si>
  <si>
    <t xml:space="preserve">Excédent brut d'exploitation négatif deux années sur trois</t>
  </si>
  <si>
    <t xml:space="preserve">NC04</t>
  </si>
  <si>
    <t xml:space="preserve">Dossier groupe incomplet alors que le groupe est matériel</t>
  </si>
  <si>
    <t xml:space="preserve">GRILLE DE NOTATION — 45 CRITÈRES</t>
  </si>
  <si>
    <t xml:space="preserve">Barèmes des ratios par segment et repères des critères qualitatifs, tels qu'appliqués par le moteur. Ratio « croissant » : plus la valeur est haute, meilleur est le score ; « décroissant » : l'inverse.</t>
  </si>
  <si>
    <t xml:space="preserve">Poids TPE</t>
  </si>
  <si>
    <t xml:space="preserve">Poids PME</t>
  </si>
  <si>
    <t xml:space="preserve">Poids GE</t>
  </si>
  <si>
    <t xml:space="preserve">Sens</t>
  </si>
  <si>
    <t xml:space="preserve">TPE : 100 si</t>
  </si>
  <si>
    <t xml:space="preserve">TPE : 75 si</t>
  </si>
  <si>
    <t xml:space="preserve">TPE : 50 si</t>
  </si>
  <si>
    <t xml:space="preserve">TPE : 25 si</t>
  </si>
  <si>
    <t xml:space="preserve">PME : 100 si</t>
  </si>
  <si>
    <t xml:space="preserve">PME : 75 si</t>
  </si>
  <si>
    <t xml:space="preserve">PME : 50 si</t>
  </si>
  <si>
    <t xml:space="preserve">PME : 25 si</t>
  </si>
  <si>
    <t xml:space="preserve">GE : 100 si</t>
  </si>
  <si>
    <t xml:space="preserve">GE : 75 si</t>
  </si>
  <si>
    <t xml:space="preserve">GE : 50 si</t>
  </si>
  <si>
    <t xml:space="preserve">GE : 25 si</t>
  </si>
  <si>
    <t xml:space="preserve">Repère 100</t>
  </si>
  <si>
    <t xml:space="preserve">Repère 75</t>
  </si>
  <si>
    <t xml:space="preserve">Repère 50</t>
  </si>
  <si>
    <t xml:space="preserve">Repère 25</t>
  </si>
  <si>
    <t xml:space="preserve">Repère 0</t>
  </si>
  <si>
    <t xml:space="preserve">CAGR +3 % à +20 %, aucune baisse annuelle &gt; 10 %, volatilité faible, ≥ médiane sectorielle</t>
  </si>
  <si>
    <t xml:space="preserve">CAGR 0 % à +3 % ou +20 % à +30 % ; une baisse ponctuelle ≤ 10 % expliquée et corrigée</t>
  </si>
  <si>
    <t xml:space="preserve">CAGR −5 % à 0 %, ou &gt; +30 % avec tension BFR maîtrisable, ou volatilité matérielle sans tendance durable</t>
  </si>
  <si>
    <t xml:space="preserve">CAGR −15 % à −5 %, ou deux exercices consécutifs en baisse, ou écart défavorable au secteur &gt; 10 points</t>
  </si>
  <si>
    <t xml:space="preserve">CAGR &lt; −15 %, effondrement récent &gt; 25 %, perte majeure de clientèle ou CA non fiable</t>
  </si>
  <si>
    <t xml:space="preserve">Marge ≥ P75 sectoriel, positive sur trois ans et stable/améliorée de ≥ 1 point</t>
  </si>
  <si>
    <t xml:space="preserve">Marge entre P50 et P75, positive et stable à ±1 point</t>
  </si>
  <si>
    <t xml:space="preserve">Marge entre P25 et P50, ou baisse de 1 à 3 points en restant positive</t>
  </si>
  <si>
    <t xml:space="preserve">Marge entre P10 et P25, ou baisse &gt; 3 points, ou un exercice proche de zéro</t>
  </si>
  <si>
    <t xml:space="preserve">Marge négative au dernier exercice, &lt; P10, pertes opérationnelles récurrentes ou EBITDA non fiable</t>
  </si>
  <si>
    <t xml:space="preserve">≥ P75 sectoriel, positif sur trois ans, sans dépendance à un produit exceptionnel</t>
  </si>
  <si>
    <t xml:space="preserve">P50 à P75, positif et stable</t>
  </si>
  <si>
    <t xml:space="preserve">P25 à P50, faible mais positif, ou un exercice déficitaire non récurrent</t>
  </si>
  <si>
    <t xml:space="preserve">P10 à P25, proche de zéro ou forte dépendance à des éléments non récurrents</t>
  </si>
  <si>
    <t xml:space="preserve">Négatif au dernier exercice et tendance non corrigée, ou &lt; P10 sur deux exercices</t>
  </si>
  <si>
    <t xml:space="preserve">Croissant</t>
  </si>
  <si>
    <t xml:space="preserve">Décroissant</t>
  </si>
  <si>
    <t xml:space="preserve">Cycle ≤ P25 sectoriel, stable ou amélioré ; aucune tension fournisseur</t>
  </si>
  <si>
    <t xml:space="preserve">Entre P25 et P50 ; détérioration ≤ 5 jours</t>
  </si>
  <si>
    <t xml:space="preserve">Entre P50 et P75 ou détérioration de 6 à 15 jours, financée sans dépassement</t>
  </si>
  <si>
    <t xml:space="preserve">&gt; P75 ou détérioration de 16 à 45 jours ; stocks/créances vieillissants</t>
  </si>
  <si>
    <t xml:space="preserve">&gt; P90 avec détérioration &gt; 45 jours, actifs non recouvrables, fournisseurs durablement impayés ou BFR non finançable</t>
  </si>
  <si>
    <t xml:space="preserve">Couverture ≥ 12 mois, headroom ≥ 30 %, aucune échéance concentrée non financée</t>
  </si>
  <si>
    <t xml:space="preserve">Couverture 9–12 mois, headroom 20–30 %, refinancement très probable et documenté</t>
  </si>
  <si>
    <t xml:space="preserve">Couverture 6–9 mois, headroom 10–20 %, dépendance modérée au renouvellement</t>
  </si>
  <si>
    <t xml:space="preserve">Couverture 3–6 mois, headroom &lt; 10 %, mur de dette proche ou lignes non confirmées</t>
  </si>
  <si>
    <t xml:space="preserve">Couverture &lt; 3 mois, gap avéré, refinancement non sécurisé ou rupture prévisible</t>
  </si>
  <si>
    <t xml:space="preserve">Aucun covenant financier ou marge ≥ 30 % sur tous les covenants ; reporting à jour</t>
  </si>
  <si>
    <t xml:space="preserve">Marge entre 20 % et 30 % ; aucune tendance de rupture</t>
  </si>
  <si>
    <t xml:space="preserve">Marge entre 10 % et 20 % ou waiver ancien régularisé</t>
  </si>
  <si>
    <t xml:space="preserve">Marge entre 0 % et 10 %, waiver en cours ou reporting incomplet</t>
  </si>
  <si>
    <t xml:space="preserve">Covenant rompu non régularisé, information dissimulée ou accélération possible de dette</t>
  </si>
  <si>
    <t xml:space="preserve">Aucun dépassement non autorisé</t>
  </si>
  <si>
    <t xml:space="preserve">Un dépassement ≤ 3 jours et ≤ 5 % de la ligne, régularisé spontanément</t>
  </si>
  <si>
    <t xml:space="preserve">4–15 jours cumulés ou 2–3 épisodes, montant ≤ 10 % de la ligne</t>
  </si>
  <si>
    <t xml:space="preserve">16–30 jours cumulés, épisodes mensuels ou montant &gt; 10 %</t>
  </si>
  <si>
    <t xml:space="preserve">&gt; 30 jours, dépassement permanent, compte bloqué ou absence d'autorisation</t>
  </si>
  <si>
    <t xml:space="preserve">Utilisation moyenne 20–70 %, pics cohérents avec la saisonnalité, marge disponible</t>
  </si>
  <si>
    <t xml:space="preserve">10–20 % ou 70–85 %, utilisation stable et justifiée</t>
  </si>
  <si>
    <t xml:space="preserve">85–95 %, ou hausse &gt; 20 points sur six mois, sans dépassement</t>
  </si>
  <si>
    <t xml:space="preserve">&gt; 95 % pendant plus de trois mois, pics fréquents ou dépendance au renouvellement</t>
  </si>
  <si>
    <t xml:space="preserve">&gt; 100 % non autorisé, ligne saturée sans capacité de réduction ou besoin structurel non financé</t>
  </si>
  <si>
    <t xml:space="preserve">Absence d'incident vérifiée auprès des sources autorisées</t>
  </si>
  <si>
    <t xml:space="preserve">Un incident mineur, erreur technique démontrée, régularisé ≤ 5 jours</t>
  </si>
  <si>
    <t xml:space="preserve">Un à deux incidents régularisés ≤ 30 jours, montant non matériel</t>
  </si>
  <si>
    <t xml:space="preserve">Incidents récurrents, régularisation tardive ou incident matériel</t>
  </si>
  <si>
    <t xml:space="preserve">Incident grave/non régularisé, interdiction ou signal bloquant selon dispositif applicable</t>
  </si>
  <si>
    <t xml:space="preserve">Aucune restructuration ni concession liée à une difficulté financière</t>
  </si>
  <si>
    <t xml:space="preserve">Restructuration ancienne &gt; 36 mois, période probatoire achevée, performance durable</t>
  </si>
  <si>
    <t xml:space="preserve">Restructuration entre 24 et 36 mois, paiements réguliers, surveillance en cours</t>
  </si>
  <si>
    <t xml:space="preserve">Restructuration &lt; 24 mois, concession significative ou dépendance à un moratoire</t>
  </si>
  <si>
    <t xml:space="preserve">Échec de restructuration, seconde concession, impayé post-restructuration ou défaut</t>
  </si>
  <si>
    <t xml:space="preserve">Endettement stable/en baisse, aucun incident groupe, capacité consolidée confortable</t>
  </si>
  <si>
    <t xml:space="preserve">Hausse ≤ 10 % cohérente avec croissance et cash-flow</t>
  </si>
  <si>
    <t xml:space="preserve">Hausse de 10–25 %, nouvelle banque/ligne ou concentration accrue mais justifiée</t>
  </si>
  <si>
    <t xml:space="preserve">Hausse &gt; 25 %, dette non expliquée, multiplication de demandes ou dégradation d'une entité liée</t>
  </si>
  <si>
    <t xml:space="preserve">Cross-default, contagion applicable, dette cachée, incident majeur groupe ou soutien inversé non soutenable</t>
  </si>
  <si>
    <t xml:space="preserve">S1 — secteur très résilient</t>
  </si>
  <si>
    <t xml:space="preserve">S2 — secteur résilient</t>
  </si>
  <si>
    <t xml:space="preserve">S3 — secteur moyen/cyclique maîtrisable</t>
  </si>
  <si>
    <t xml:space="preserve">S4 — secteur vulnérable/sous surveillance</t>
  </si>
  <si>
    <t xml:space="preserve">S5 — secteur très vulnérable/crise structurelle</t>
  </si>
  <si>
    <t xml:space="preserve">Leader ou niche dominante ; avantages défendables ; pouvoir de prix ; preuves de parts de marché</t>
  </si>
  <si>
    <t xml:space="preserve">Position forte ; différenciation claire ; bonne fidélité ; marges au moins sectorielles</t>
  </si>
  <si>
    <t xml:space="preserve">Position moyenne ; offre comparable au marché ; pression concurrentielle normale</t>
  </si>
  <si>
    <t xml:space="preserve">Position faible ; perte de parts/clients ; pression prix élevée ; dépendance à un canal</t>
  </si>
  <si>
    <t xml:space="preserve">Position marginale/non viable ; produit obsolète ; rupture de licence ; perte du marché essentiel</t>
  </si>
  <si>
    <t xml:space="preserve">≥ 12 mois de revenus sécurisés ou &gt; 80 % récurrents avec rétention &gt; 90 % ; contreparties solides</t>
  </si>
  <si>
    <t xml:space="preserve">9–12 mois ou 60–80 % récurrents ; annulations historiques faibles</t>
  </si>
  <si>
    <t xml:space="preserve">6–9 mois ou 40–60 % récurrents ; visibilité moyenne cohérente au secteur</t>
  </si>
  <si>
    <t xml:space="preserve">3–6 mois, carnet non ferme, churn élevé ou dépendance à appels d'offres non acquis</t>
  </si>
  <si>
    <t xml:space="preserve">&lt; 3 mois, annulations matérielles, carnet artificiel ou arrêt d'activité prévisible</t>
  </si>
  <si>
    <t xml:space="preserve">Exposition nette &lt; 10 % de l'EBITDA ou couverture complète ; pays stables</t>
  </si>
  <si>
    <t xml:space="preserve">Exposition 10–25 %, couverture &gt; 75 %, répercussion prix démontrée</t>
  </si>
  <si>
    <t xml:space="preserve">Exposition 25–50 %, couverture 50–75 %, volatilité absorbable</t>
  </si>
  <si>
    <t xml:space="preserve">Exposition 50–100 %, couverture &lt; 50 %, risque pays/transfert ou commodity matériel</t>
  </si>
  <si>
    <t xml:space="preserve">Exposition &gt; 100 % de l'EBITDA, aucune couverture, continuité menacée ou pays bloqué</t>
  </si>
  <si>
    <t xml:space="preserve">Processus robustes, redondance, maintenance et assurance adéquates, capex financé, aucun incident matériel</t>
  </si>
  <si>
    <t xml:space="preserve">Contrôles satisfaisants, dépendances connues et plans testés, capex maîtrisé</t>
  </si>
  <si>
    <t xml:space="preserve">Contrôles moyens, quelques dépendances/sites uniques, capex nécessaire mais finançable</t>
  </si>
  <si>
    <t xml:space="preserve">Outil vieillissant, incidents fréquents, sous-investissement, dépendance critique, assurance insuffisante</t>
  </si>
  <si>
    <t xml:space="preserve">Arrêt majeur non résolu, technologie obsolète, perte de licence/certification ou capex vital non financé</t>
  </si>
  <si>
    <t xml:space="preserve">Croissance rentable, financée majoritairement par cash-flow/fonds propres, BFR et capacités maîtrisés</t>
  </si>
  <si>
    <t xml:space="preserve">Croissance rentable avec dette modérée, plan capacitaire et commercial prouvé</t>
  </si>
  <si>
    <t xml:space="preserve">Croissance correcte mais dépendante de dette/BFR ; hypothèses raisonnables, mitigations identifiées</t>
  </si>
  <si>
    <t xml:space="preserve">Croissance non rentable, BFR tendu, expansion trop rapide ou investissements sous-estimés</t>
  </si>
  <si>
    <t xml:space="preserve">Croissance artificielle/circulaire, acquisitions non intégrées, destruction de cash ou plan irréaliste</t>
  </si>
  <si>
    <t xml:space="preserve">Équipe complète, &gt; 10 ans d'expérience pertinente, stabilité &gt; 5 ans, succession en place, réalisations vérifiées</t>
  </si>
  <si>
    <t xml:space="preserve">Expérience 5–10 ans, faible turnover, compétences adaptées et résultats cohérents</t>
  </si>
  <si>
    <t xml:space="preserve">Expérience 3–5 ans ou changement récent maîtrisé ; quelques lacunes compensées</t>
  </si>
  <si>
    <t xml:space="preserve">Équipe incomplète, turnover élevé, expérience limitée, objectifs régulièrement non atteints</t>
  </si>
  <si>
    <t xml:space="preserve">Incompétence manifeste, départs critiques, information trompeuse ou incapacité à exploiter</t>
  </si>
  <si>
    <t xml:space="preserve">Responsabilités distribuées, délégations formelles, successeurs identifiés et plan testé</t>
  </si>
  <si>
    <t xml:space="preserve">Dépendance limitée ; adjoint compétent et documentation suffisante</t>
  </si>
  <si>
    <t xml:space="preserve">Dépendance réelle mais remplaçable en 3–6 mois ; plan partiel</t>
  </si>
  <si>
    <t xml:space="preserve">Dirigeant concentre clients, technique et pouvoirs ; absence de succession crédible</t>
  </si>
  <si>
    <t xml:space="preserve">Indisponibilité de l'homme-clé compromettant immédiatement l'activité, sans solution</t>
  </si>
  <si>
    <t xml:space="preserve">Organes actifs et documentés, séparation des pouvoirs, audit/risques/conformité proportionnés</t>
  </si>
  <si>
    <t xml:space="preserve">Gouvernance structurée, contrôles réguliers, incidents corrigés dans les délais</t>
  </si>
  <si>
    <t xml:space="preserve">Gouvernance informelle mais fonctionnelle ; contrôles essentiels présents</t>
  </si>
  <si>
    <t xml:space="preserve">Pouvoirs concentrés, contrôles faibles, recommandations récurrentes non clôturées</t>
  </si>
  <si>
    <t xml:space="preserve">Absence de contrôle, fraude/irrégularité de gouvernance, décisions non autorisées</t>
  </si>
  <si>
    <t xml:space="preserve">Actionnariat stable et transparent ; parent très solide ; support juridiquement engageant ou historique incontestable</t>
  </si>
  <si>
    <t xml:space="preserve">Actionnaires solides et impliqués ; soutien documenté mais non totalement contraignant</t>
  </si>
  <si>
    <t xml:space="preserve">Actionnariat stable, capacité de soutien moyenne ou entité autonome sans besoin de support</t>
  </si>
  <si>
    <t xml:space="preserve">Conflits, dilution probable, actionnaires endettés ou soutien incertain</t>
  </si>
  <si>
    <t xml:space="preserve">Groupe en difficulté, ponctions de cash, litige actionnarial majeur ou opacité</t>
  </si>
  <si>
    <t xml:space="preserve">Stratégie documentée et cohérente ; réalisations ≥ 90 % des budgets ajustés</t>
  </si>
  <si>
    <t xml:space="preserve">Stratégie crédible ; réalisations 75–90 % ; écarts expliqués et corrigés</t>
  </si>
  <si>
    <t xml:space="preserve">Plan raisonnable mais partiellement documenté ; réalisations 60–75 %</t>
  </si>
  <si>
    <t xml:space="preserve">Plans fréquemment révisés, réalisations &lt; 60 %, hypothèses trop optimistes</t>
  </si>
  <si>
    <t xml:space="preserve">Absence de stratégie, budgets manipulés ou décisions menaçant la continuité</t>
  </si>
  <si>
    <t xml:space="preserve">Transactions limitées, aux conditions de marché, approuvées, documentées et rapprochées</t>
  </si>
  <si>
    <t xml:space="preserve">Transactions significatives mais transparentes, contractuelles et recouvrées normalement</t>
  </si>
  <si>
    <t xml:space="preserve">Transactions fréquentes, documentation partielle, impact financier limité</t>
  </si>
  <si>
    <t xml:space="preserve">Créances/avances importantes, prix non démontrés, cash-pooling défavorable</t>
  </si>
  <si>
    <t xml:space="preserve">Détournement de ressources, créances irrécouvrables, garanties cachées ou transactions non autorisées</t>
  </si>
  <si>
    <t xml:space="preserve">Reporting mensuel fiable, cash forecast glissant, scénarios, limites et alertes formalisés</t>
  </si>
  <si>
    <t xml:space="preserve">Reporting trimestriel fiable, budget/forecast et suivi de trésorerie réguliers</t>
  </si>
  <si>
    <t xml:space="preserve">Reporting annuel/intermédiaire suffisant mais peu prospectif ; dépendance à l'expert-comptable</t>
  </si>
  <si>
    <t xml:space="preserve">Pilotage tardif, absence de forecast, données contradictoires, réaction après incident</t>
  </si>
  <si>
    <t xml:space="preserve">Aucun pilotage fiable, refus de transparence ou dissimulation de difficultés</t>
  </si>
  <si>
    <t xml:space="preserve">Comptes audités/certifiés sans réserve matérielle ; ou TPE non soumise avec comptes rapprochés à fiabilité élevée</t>
  </si>
  <si>
    <t xml:space="preserve">Opinion avec réserve non matérielle ou revue limitée solide ; écarts corrigés</t>
  </si>
  <si>
    <t xml:space="preserve">Comptes non audités mais cohérents, documentés et rapprochés ; qualité moyenne</t>
  </si>
  <si>
    <t xml:space="preserve">Réserves matérielles, nombreux retraitements ou périmètre incomplet</t>
  </si>
  <si>
    <t xml:space="preserve">Comptes non fiables/refusés, soupçon de falsification ou continuité non reflétée</t>
  </si>
  <si>
    <t xml:space="preserve">Obligations à jour, aucune dette/litige matériel, certificats et documents valides</t>
  </si>
  <si>
    <t xml:space="preserve">Retard mineur régularisé, contrôle courant sans enjeu matériel</t>
  </si>
  <si>
    <t xml:space="preserve">Plan d'apurement respecté ou litige provisionné et maîtrisable</t>
  </si>
  <si>
    <t xml:space="preserve">Arriérés/litige matériel, plan fragile, saisie ou risque de sanction significatif</t>
  </si>
  <si>
    <t xml:space="preserve">Mesure d'exécution majeure, dette non soutenable, procédure menaçant l'activité ou document falsifié</t>
  </si>
  <si>
    <t xml:space="preserve">Actionnariat, UBO, pouvoirs, groupe et engagements complets, à jour, vérifiés</t>
  </si>
  <si>
    <t xml:space="preserve">Lacune mineure sans ambiguïté sur contrôle/pouvoirs, correction rapide</t>
  </si>
  <si>
    <t xml:space="preserve">Documents partiels mais contrôle et structure raisonnablement établis</t>
  </si>
  <si>
    <t xml:space="preserve">Chaîne de détention complexe/opaque, documents expirés ou hors bilan incomplet</t>
  </si>
  <si>
    <t xml:space="preserve">UBO/pouvoirs impossibles à établir, faux document ou blocage KYC</t>
  </si>
  <si>
    <t xml:space="preserve">Exposition faible vérifiée ou actifs résilients ; assurances et plans de continuité testés</t>
  </si>
  <si>
    <t xml:space="preserve">Exposition modérée, mitigations financées, couverture assurance adéquate</t>
  </si>
  <si>
    <t xml:space="preserve">Exposition matérielle mais cartographiée ; plan partiel et pertes absorbables</t>
  </si>
  <si>
    <t xml:space="preserve">Exposition élevée (eau/chaleur/inondation/sécheresse), données ou mitigation insuffisantes</t>
  </si>
  <si>
    <t xml:space="preserve">Actifs critiques menacés à court terme, sinistres récurrents, absence de solution viable</t>
  </si>
  <si>
    <t xml:space="preserve">Faible intensité/dépendance, réglementation anticipée, offre compatible avec la transition</t>
  </si>
  <si>
    <t xml:space="preserve">Exposition modérée, investissements identifiés et finançables, capacité de répercussion</t>
  </si>
  <si>
    <t xml:space="preserve">Exposition matérielle, trajectoire et budget partiels, risque absorbable</t>
  </si>
  <si>
    <t xml:space="preserve">Forte dépendance énergie/carbone/réglementation, capex important non totalement financé</t>
  </si>
  <si>
    <t xml:space="preserve">Modèle économique menacé, interdiction/obsolescence probable, aucun plan crédible</t>
  </si>
  <si>
    <t xml:space="preserve">Autorisations à jour, absence d'incident matériel, système de gestion et indicateurs suivis</t>
  </si>
  <si>
    <t xml:space="preserve">Écart mineur corrigé, contrôles adaptés et historique satisfaisant</t>
  </si>
  <si>
    <t xml:space="preserve">Écarts modérés avec plan daté/financé ; aucun arrêt probable</t>
  </si>
  <si>
    <t xml:space="preserve">Non-conformité matérielle, accident/litige, plan incomplet ou passif potentiel important</t>
  </si>
  <si>
    <t xml:space="preserve">Autorisation retirée, fermeture/sanction grave, dommage majeur ou violation bloquante</t>
  </si>
  <si>
    <t xml:space="preserve">Responsabilités conseil/direction, données fiables, objectifs, budget, scénarios et suivi</t>
  </si>
  <si>
    <t xml:space="preserve">Gouvernance formalisée et plan financé sur les risques matériels</t>
  </si>
  <si>
    <t xml:space="preserve">Responsables identifiés, diagnostic initial et actions partielles</t>
  </si>
  <si>
    <t xml:space="preserve">Approche réactive, données faibles, plan non chiffré ou sans propriétaire</t>
  </si>
  <si>
    <t xml:space="preserve">Déni d'un risque matériel, aucune gouvernance, information trompeuse ou greenwashing démontré</t>
  </si>
  <si>
    <t xml:space="preserve">CAS EXEMPLES — ENTREPRISES FICTIVES</t>
  </si>
  <si>
    <t xml:space="preserve">Saisies des cas présentés au management. Choisissez un cas dans le simulateur (cellule « Cas chargé ») pour le rejouer ; la dernière partie donne le résultat calculé par le moteur de l'outil, pour contrôle.</t>
  </si>
  <si>
    <t xml:space="preserve">Clé</t>
  </si>
  <si>
    <t xml:space="preserve">A — Atlas Agro SA</t>
  </si>
  <si>
    <t xml:space="preserve">B — Souss Négoce SARL</t>
  </si>
  <si>
    <t xml:space="preserve">C — Tanger Logistique SA</t>
  </si>
  <si>
    <t xml:space="preserve">D — Rif Bâtiment SARL</t>
  </si>
  <si>
    <t xml:space="preserve">E — Fès Textile SA</t>
  </si>
  <si>
    <t xml:space="preserve">profil</t>
  </si>
  <si>
    <t xml:space="preserve">Profil</t>
  </si>
  <si>
    <t xml:space="preserve">PME agro-industrielle saine : fonds propres solides, endettement modéré, compte sans incident.</t>
  </si>
  <si>
    <t xml:space="preserve">Comptes corrects, mais compte courant tendu : retards de 20 jours, dépassements, incidents d'effets.</t>
  </si>
  <si>
    <t xml:space="preserve">Score correct, mais service de la dette non couvert en scénario de base (DSCR 0,9) : exception non compensatoire.</t>
  </si>
  <si>
    <t xml:space="preserve">Dossier incomplet : comptes partiels, comportement bancaire et activité non documentés.</t>
  </si>
  <si>
    <t xml:space="preserve">Impayé de plus de 90 jours constaté : le défaut s'impose, quel que soit le score.</t>
  </si>
  <si>
    <t xml:space="preserve">nom</t>
  </si>
  <si>
    <t xml:space="preserve">Atlas Agro SA</t>
  </si>
  <si>
    <t xml:space="preserve">Souss Négoce SARL</t>
  </si>
  <si>
    <t xml:space="preserve">Tanger Logistique SA</t>
  </si>
  <si>
    <t xml:space="preserve">Rif Bâtiment SARL</t>
  </si>
  <si>
    <t xml:space="preserve">Fès Textile SA</t>
  </si>
  <si>
    <t xml:space="preserve">segment</t>
  </si>
  <si>
    <t xml:space="preserve">Segment</t>
  </si>
  <si>
    <t xml:space="preserve">mat_phys</t>
  </si>
  <si>
    <t xml:space="preserve">Risque climatique physique matériel</t>
  </si>
  <si>
    <t xml:space="preserve">mat_trans</t>
  </si>
  <si>
    <t xml:space="preserve">Risque de transition matériel</t>
  </si>
  <si>
    <t xml:space="preserve">conf_comp</t>
  </si>
  <si>
    <t xml:space="preserve">Confiance — complétude</t>
  </si>
  <si>
    <t xml:space="preserve">conf_fresh</t>
  </si>
  <si>
    <t xml:space="preserve">Confiance — fraîcheur</t>
  </si>
  <si>
    <t xml:space="preserve">conf_rel</t>
  </si>
  <si>
    <t xml:space="preserve">Confiance — fiabilité</t>
  </si>
  <si>
    <t xml:space="preserve">conf_prov</t>
  </si>
  <si>
    <t xml:space="preserve">Confiance — provenance</t>
  </si>
  <si>
    <t xml:space="preserve">NC01 — Couverture du service de la dette inférieure à 1 en scénario de base</t>
  </si>
  <si>
    <t xml:space="preserve">NC02 — Incertitude matérielle sur la continuité d'exploitation</t>
  </si>
  <si>
    <t xml:space="preserve">NC03 — Excédent brut d'exploitation négatif deux années sur trois</t>
  </si>
  <si>
    <t xml:space="preserve">NC04 — Dossier groupe incomplet alors que le groupe est matériel</t>
  </si>
  <si>
    <t xml:space="preserve">rf_block</t>
  </si>
  <si>
    <t xml:space="preserve">rf_refer</t>
  </si>
  <si>
    <t xml:space="preserve">Red flag à revoir (alerte ou contrôle de défaut)</t>
  </si>
  <si>
    <t xml:space="preserve">default</t>
  </si>
  <si>
    <t xml:space="preserve">Défaut constaté</t>
  </si>
  <si>
    <t xml:space="preserve">def_grade</t>
  </si>
  <si>
    <t xml:space="preserve">Grade de défaut</t>
  </si>
  <si>
    <t xml:space="preserve">gs_claim</t>
  </si>
  <si>
    <t xml:space="preserve">gs_cap</t>
  </si>
  <si>
    <t xml:space="preserve">Capacité du garant documentée</t>
  </si>
  <si>
    <t xml:space="preserve">gs_will</t>
  </si>
  <si>
    <t xml:space="preserve">Volonté de soutien démontrée</t>
  </si>
  <si>
    <t xml:space="preserve">gs_legal</t>
  </si>
  <si>
    <t xml:space="preserve">Engagement juridiquement contraignant</t>
  </si>
  <si>
    <t xml:space="preserve">gs_funds</t>
  </si>
  <si>
    <t xml:space="preserve">Transférabilité des fonds établie</t>
  </si>
  <si>
    <t xml:space="preserve">gs_notch</t>
  </si>
  <si>
    <t xml:space="preserve">Crans demandés</t>
  </si>
  <si>
    <t xml:space="preserve">S_D1.1</t>
  </si>
  <si>
    <t xml:space="preserve">D1.1 — statut</t>
  </si>
  <si>
    <t xml:space="preserve">Manquante</t>
  </si>
  <si>
    <t xml:space="preserve">V_D1.1</t>
  </si>
  <si>
    <t xml:space="preserve">D1.1 — valeur (score 0-100)</t>
  </si>
  <si>
    <t xml:space="preserve">S_D1.2</t>
  </si>
  <si>
    <t xml:space="preserve">D1.2 — statut</t>
  </si>
  <si>
    <t xml:space="preserve">V_D1.2</t>
  </si>
  <si>
    <t xml:space="preserve">D1.2 — valeur (score 0-100)</t>
  </si>
  <si>
    <t xml:space="preserve">S_D1.3</t>
  </si>
  <si>
    <t xml:space="preserve">D1.3 — statut</t>
  </si>
  <si>
    <t xml:space="preserve">V_D1.3</t>
  </si>
  <si>
    <t xml:space="preserve">D1.3 — valeur (score 0-100)</t>
  </si>
  <si>
    <t xml:space="preserve">S_D1.4</t>
  </si>
  <si>
    <t xml:space="preserve">D1.4 — statut</t>
  </si>
  <si>
    <t xml:space="preserve">V_D1.4</t>
  </si>
  <si>
    <t xml:space="preserve">D1.4 — valeur (%)</t>
  </si>
  <si>
    <t xml:space="preserve">S_D1.5</t>
  </si>
  <si>
    <t xml:space="preserve">D1.5 — statut</t>
  </si>
  <si>
    <t xml:space="preserve">V_D1.5</t>
  </si>
  <si>
    <t xml:space="preserve">D1.5 — valeur (x)</t>
  </si>
  <si>
    <t xml:space="preserve">S_D1.6</t>
  </si>
  <si>
    <t xml:space="preserve">D1.6 — statut</t>
  </si>
  <si>
    <t xml:space="preserve">V_D1.6</t>
  </si>
  <si>
    <t xml:space="preserve">D1.6 — valeur (x)</t>
  </si>
  <si>
    <t xml:space="preserve">S_D1.7</t>
  </si>
  <si>
    <t xml:space="preserve">D1.7 — statut</t>
  </si>
  <si>
    <t xml:space="preserve">V_D1.7</t>
  </si>
  <si>
    <t xml:space="preserve">D1.7 — valeur (score 0-100)</t>
  </si>
  <si>
    <t xml:space="preserve">S_D1.8</t>
  </si>
  <si>
    <t xml:space="preserve">D1.8 — statut</t>
  </si>
  <si>
    <t xml:space="preserve">V_D1.8</t>
  </si>
  <si>
    <t xml:space="preserve">D1.8 — valeur (%)</t>
  </si>
  <si>
    <t xml:space="preserve">S_D2.1</t>
  </si>
  <si>
    <t xml:space="preserve">D2.1 — statut</t>
  </si>
  <si>
    <t xml:space="preserve">V_D2.1</t>
  </si>
  <si>
    <t xml:space="preserve">D2.1 — valeur (x)</t>
  </si>
  <si>
    <t xml:space="preserve">S_D2.2</t>
  </si>
  <si>
    <t xml:space="preserve">D2.2 — statut</t>
  </si>
  <si>
    <t xml:space="preserve">V_D2.2</t>
  </si>
  <si>
    <t xml:space="preserve">D2.2 — valeur (x)</t>
  </si>
  <si>
    <t xml:space="preserve">S_D2.3</t>
  </si>
  <si>
    <t xml:space="preserve">D2.3 — statut</t>
  </si>
  <si>
    <t xml:space="preserve">V_D2.3</t>
  </si>
  <si>
    <t xml:space="preserve">D2.3 — valeur (%)</t>
  </si>
  <si>
    <t xml:space="preserve">S_D2.4</t>
  </si>
  <si>
    <t xml:space="preserve">D2.4 — statut</t>
  </si>
  <si>
    <t xml:space="preserve">V_D2.4</t>
  </si>
  <si>
    <t xml:space="preserve">D2.4 — valeur (score 0-100)</t>
  </si>
  <si>
    <t xml:space="preserve">S_D2.5</t>
  </si>
  <si>
    <t xml:space="preserve">D2.5 — statut</t>
  </si>
  <si>
    <t xml:space="preserve">V_D2.5</t>
  </si>
  <si>
    <t xml:space="preserve">D2.5 — valeur (x)</t>
  </si>
  <si>
    <t xml:space="preserve">S_D2.6</t>
  </si>
  <si>
    <t xml:space="preserve">D2.6 — statut</t>
  </si>
  <si>
    <t xml:space="preserve">V_D2.6</t>
  </si>
  <si>
    <t xml:space="preserve">D2.6 — valeur (score 0-100)</t>
  </si>
  <si>
    <t xml:space="preserve">S_D3.1</t>
  </si>
  <si>
    <t xml:space="preserve">D3.1 — statut</t>
  </si>
  <si>
    <t xml:space="preserve">V_D3.1</t>
  </si>
  <si>
    <t xml:space="preserve">D3.1 — valeur (j)</t>
  </si>
  <si>
    <t xml:space="preserve">S_D3.2</t>
  </si>
  <si>
    <t xml:space="preserve">D3.2 — statut</t>
  </si>
  <si>
    <t xml:space="preserve">V_D3.2</t>
  </si>
  <si>
    <t xml:space="preserve">D3.2 — valeur (score 0-100)</t>
  </si>
  <si>
    <t xml:space="preserve">S_D3.3</t>
  </si>
  <si>
    <t xml:space="preserve">D3.3 — statut</t>
  </si>
  <si>
    <t xml:space="preserve">V_D3.3</t>
  </si>
  <si>
    <t xml:space="preserve">D3.3 — valeur (score 0-100)</t>
  </si>
  <si>
    <t xml:space="preserve">S_D3.4</t>
  </si>
  <si>
    <t xml:space="preserve">D3.4 — statut</t>
  </si>
  <si>
    <t xml:space="preserve">V_D3.4</t>
  </si>
  <si>
    <t xml:space="preserve">D3.4 — valeur (%)</t>
  </si>
  <si>
    <t xml:space="preserve">S_D3.5</t>
  </si>
  <si>
    <t xml:space="preserve">D3.5 — statut</t>
  </si>
  <si>
    <t xml:space="preserve">V_D3.5</t>
  </si>
  <si>
    <t xml:space="preserve">D3.5 — valeur (score 0-100)</t>
  </si>
  <si>
    <t xml:space="preserve">S_D3.6</t>
  </si>
  <si>
    <t xml:space="preserve">D3.6 — statut</t>
  </si>
  <si>
    <t xml:space="preserve">V_D3.6</t>
  </si>
  <si>
    <t xml:space="preserve">D3.6 — valeur (score 0-100)</t>
  </si>
  <si>
    <t xml:space="preserve">S_D3.7</t>
  </si>
  <si>
    <t xml:space="preserve">D3.7 — statut</t>
  </si>
  <si>
    <t xml:space="preserve">V_D3.7</t>
  </si>
  <si>
    <t xml:space="preserve">D3.7 — valeur (score 0-100)</t>
  </si>
  <si>
    <t xml:space="preserve">S_D4.1</t>
  </si>
  <si>
    <t xml:space="preserve">D4.1 — statut</t>
  </si>
  <si>
    <t xml:space="preserve">V_D4.1</t>
  </si>
  <si>
    <t xml:space="preserve">D4.1 — valeur (score 0-100)</t>
  </si>
  <si>
    <t xml:space="preserve">S_D4.2</t>
  </si>
  <si>
    <t xml:space="preserve">D4.2 — statut</t>
  </si>
  <si>
    <t xml:space="preserve">V_D4.2</t>
  </si>
  <si>
    <t xml:space="preserve">D4.2 — valeur (score 0-100)</t>
  </si>
  <si>
    <t xml:space="preserve">S_D4.3</t>
  </si>
  <si>
    <t xml:space="preserve">D4.3 — statut</t>
  </si>
  <si>
    <t xml:space="preserve">V_D4.3</t>
  </si>
  <si>
    <t xml:space="preserve">D4.3 — valeur (%)</t>
  </si>
  <si>
    <t xml:space="preserve">S_D4.4</t>
  </si>
  <si>
    <t xml:space="preserve">D4.4 — statut</t>
  </si>
  <si>
    <t xml:space="preserve">V_D4.4</t>
  </si>
  <si>
    <t xml:space="preserve">D4.4 — valeur (%)</t>
  </si>
  <si>
    <t xml:space="preserve">S_D4.5</t>
  </si>
  <si>
    <t xml:space="preserve">D4.5 — statut</t>
  </si>
  <si>
    <t xml:space="preserve">V_D4.5</t>
  </si>
  <si>
    <t xml:space="preserve">D4.5 — valeur (score 0-100)</t>
  </si>
  <si>
    <t xml:space="preserve">S_D4.6</t>
  </si>
  <si>
    <t xml:space="preserve">D4.6 — statut</t>
  </si>
  <si>
    <t xml:space="preserve">V_D4.6</t>
  </si>
  <si>
    <t xml:space="preserve">D4.6 — valeur (score 0-100)</t>
  </si>
  <si>
    <t xml:space="preserve">S_D4.7</t>
  </si>
  <si>
    <t xml:space="preserve">D4.7 — statut</t>
  </si>
  <si>
    <t xml:space="preserve">V_D4.7</t>
  </si>
  <si>
    <t xml:space="preserve">D4.7 — valeur (score 0-100)</t>
  </si>
  <si>
    <t xml:space="preserve">S_D4.8</t>
  </si>
  <si>
    <t xml:space="preserve">D4.8 — statut</t>
  </si>
  <si>
    <t xml:space="preserve">V_D4.8</t>
  </si>
  <si>
    <t xml:space="preserve">D4.8 — valeur (score 0-100)</t>
  </si>
  <si>
    <t xml:space="preserve">S_D5.1</t>
  </si>
  <si>
    <t xml:space="preserve">D5.1 — statut</t>
  </si>
  <si>
    <t xml:space="preserve">V_D5.1</t>
  </si>
  <si>
    <t xml:space="preserve">D5.1 — valeur (score 0-100)</t>
  </si>
  <si>
    <t xml:space="preserve">S_D5.2</t>
  </si>
  <si>
    <t xml:space="preserve">D5.2 — statut</t>
  </si>
  <si>
    <t xml:space="preserve">V_D5.2</t>
  </si>
  <si>
    <t xml:space="preserve">D5.2 — valeur (score 0-100)</t>
  </si>
  <si>
    <t xml:space="preserve">S_D5.3</t>
  </si>
  <si>
    <t xml:space="preserve">D5.3 — statut</t>
  </si>
  <si>
    <t xml:space="preserve">V_D5.3</t>
  </si>
  <si>
    <t xml:space="preserve">D5.3 — valeur (score 0-100)</t>
  </si>
  <si>
    <t xml:space="preserve">S_D5.4</t>
  </si>
  <si>
    <t xml:space="preserve">D5.4 — statut</t>
  </si>
  <si>
    <t xml:space="preserve">V_D5.4</t>
  </si>
  <si>
    <t xml:space="preserve">D5.4 — valeur (score 0-100)</t>
  </si>
  <si>
    <t xml:space="preserve">S_D5.5</t>
  </si>
  <si>
    <t xml:space="preserve">D5.5 — statut</t>
  </si>
  <si>
    <t xml:space="preserve">V_D5.5</t>
  </si>
  <si>
    <t xml:space="preserve">D5.5 — valeur (score 0-100)</t>
  </si>
  <si>
    <t xml:space="preserve">S_D5.6</t>
  </si>
  <si>
    <t xml:space="preserve">D5.6 — statut</t>
  </si>
  <si>
    <t xml:space="preserve">V_D5.6</t>
  </si>
  <si>
    <t xml:space="preserve">D5.6 — valeur (score 0-100)</t>
  </si>
  <si>
    <t xml:space="preserve">S_D5.7</t>
  </si>
  <si>
    <t xml:space="preserve">D5.7 — statut</t>
  </si>
  <si>
    <t xml:space="preserve">V_D5.7</t>
  </si>
  <si>
    <t xml:space="preserve">D5.7 — valeur (score 0-100)</t>
  </si>
  <si>
    <t xml:space="preserve">S_D6.1</t>
  </si>
  <si>
    <t xml:space="preserve">D6.1 — statut</t>
  </si>
  <si>
    <t xml:space="preserve">V_D6.1</t>
  </si>
  <si>
    <t xml:space="preserve">D6.1 — valeur (score 0-100)</t>
  </si>
  <si>
    <t xml:space="preserve">S_D6.2</t>
  </si>
  <si>
    <t xml:space="preserve">D6.2 — statut</t>
  </si>
  <si>
    <t xml:space="preserve">V_D6.2</t>
  </si>
  <si>
    <t xml:space="preserve">D6.2 — valeur (j)</t>
  </si>
  <si>
    <t xml:space="preserve">S_D6.3</t>
  </si>
  <si>
    <t xml:space="preserve">D6.3 — statut</t>
  </si>
  <si>
    <t xml:space="preserve">V_D6.3</t>
  </si>
  <si>
    <t xml:space="preserve">D6.3 — valeur (%)</t>
  </si>
  <si>
    <t xml:space="preserve">S_D6.4</t>
  </si>
  <si>
    <t xml:space="preserve">D6.4 — statut</t>
  </si>
  <si>
    <t xml:space="preserve">V_D6.4</t>
  </si>
  <si>
    <t xml:space="preserve">D6.4 — valeur (score 0-100)</t>
  </si>
  <si>
    <t xml:space="preserve">S_D6.5</t>
  </si>
  <si>
    <t xml:space="preserve">D6.5 — statut</t>
  </si>
  <si>
    <t xml:space="preserve">V_D6.5</t>
  </si>
  <si>
    <t xml:space="preserve">D6.5 — valeur (score 0-100)</t>
  </si>
  <si>
    <t xml:space="preserve">S_D7.1</t>
  </si>
  <si>
    <t xml:space="preserve">D7.1 — statut</t>
  </si>
  <si>
    <t xml:space="preserve">V_D7.1</t>
  </si>
  <si>
    <t xml:space="preserve">D7.1 — valeur (score 0-100)</t>
  </si>
  <si>
    <t xml:space="preserve">S_D7.2</t>
  </si>
  <si>
    <t xml:space="preserve">D7.2 — statut</t>
  </si>
  <si>
    <t xml:space="preserve">V_D7.2</t>
  </si>
  <si>
    <t xml:space="preserve">D7.2 — valeur (score 0-100)</t>
  </si>
  <si>
    <t xml:space="preserve">S_D7.3</t>
  </si>
  <si>
    <t xml:space="preserve">D7.3 — statut</t>
  </si>
  <si>
    <t xml:space="preserve">V_D7.3</t>
  </si>
  <si>
    <t xml:space="preserve">D7.3 — valeur (score 0-100)</t>
  </si>
  <si>
    <t xml:space="preserve">S_D7.4</t>
  </si>
  <si>
    <t xml:space="preserve">D7.4 — statut</t>
  </si>
  <si>
    <t xml:space="preserve">V_D7.4</t>
  </si>
  <si>
    <t xml:space="preserve">D7.4 — valeur (score 0-100)</t>
  </si>
  <si>
    <t xml:space="preserve">Résultat calculé par le moteur de l'outil (référence de contrôle)</t>
  </si>
  <si>
    <t xml:space="preserve">ref_status</t>
  </si>
  <si>
    <t xml:space="preserve">Statut</t>
  </si>
  <si>
    <t xml:space="preserve">Noté</t>
  </si>
  <si>
    <t xml:space="preserve">Pas de grade</t>
  </si>
  <si>
    <t xml:space="preserve">Défaut</t>
  </si>
  <si>
    <t xml:space="preserve">ref_score</t>
  </si>
  <si>
    <t xml:space="preserve">Score brut</t>
  </si>
  <si>
    <t xml:space="preserve">ref_engine</t>
  </si>
  <si>
    <t xml:space="preserve">—</t>
  </si>
  <si>
    <t xml:space="preserve">ref_final</t>
  </si>
  <si>
    <t xml:space="preserve">ref_cov</t>
  </si>
  <si>
    <t xml:space="preserve">Couverture observée</t>
  </si>
  <si>
    <t xml:space="preserve">ref_expl</t>
  </si>
  <si>
    <t xml:space="preserve">Explication du moteur</t>
  </si>
  <si>
    <t xml:space="preserve">Segment PME. Score brut 80.75 / 100 → grade STD-P3 sur l'échelle STD-P-2026.1 (Bon). Classe de confiance A — elle décrit la robustesse de l'estimation, elle ne modifie pas le grade.</t>
  </si>
  <si>
    <t xml:space="preserve">Segment PME. Score brut 59.31 / 100 → grade STD-P6 sur l'échelle STD-P-2026.1 (Fragile). Classe de confiance A — elle décrit la robustesse de l'estimation, elle ne modifie pas le grade. Signaux à traiter par les moteurs dédiés : RF07.</t>
  </si>
  <si>
    <t xml:space="preserve">Segment PME. Score brut 66.06 / 100 → grade STD-P5 sur l'échelle STD-P-2026.1, ramené à STD-P7 par exception non compensatoire. Classe de confiance A — elle décrit la robustesse de l'estimation, elle ne modifie pas le grade.</t>
  </si>
  <si>
    <t xml:space="preserve">Aucun grade produit — couverture insuffisante (46.0 % du poids porté par une donnée observée, minimum 60.0 % ; domaines sous le seuil : D2, D3). Le score brut 46.19 est conservé pour la surveillance du modèle. La réponse attendue est de compléter le dossier, non d'interpréter une note dégradée.</t>
  </si>
  <si>
    <t xml:space="preserve">Défaut constaté (DEF1) : le grade de défaut s'impose indépendamment du score brut 64.81, conservé pour la surveillance. La classification réglementaire et le stage IFRS 9 relèvent de moteurs distincts.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</si>
</sst>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"/>
    <numFmt numFmtId="167" formatCode="0.0%"/>
    <numFmt numFmtId="168" formatCode="0.0"/>
    <numFmt numFmtId="169" formatCode="0%"/>
    <numFmt numFmtId="170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62016"/>
      <name val="Arial"/>
      <family val="0"/>
      <charset val="1"/>
    </font>
    <font>
      <b val="true"/>
      <sz val="10"/>
      <color rgb="FF462016"/>
      <name val="Arial"/>
      <family val="0"/>
      <charset val="1"/>
    </font>
    <font>
      <sz val="10"/>
      <color rgb="FF3D3D3B"/>
      <name val="Arial"/>
      <family val="0"/>
      <charset val="1"/>
    </font>
    <font>
      <b val="true"/>
      <sz val="10"/>
      <color rgb="FF1F3FBF"/>
      <name val="Arial"/>
      <family val="0"/>
      <charset val="1"/>
    </font>
    <font>
      <i val="true"/>
      <sz val="9"/>
      <color rgb="FF3D3D3B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2"/>
      <color rgb="FF46201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D3D3B"/>
      <name val="Arial"/>
      <family val="0"/>
      <charset val="1"/>
    </font>
    <font>
      <b val="true"/>
      <sz val="14"/>
      <color rgb="FFE37B05"/>
      <name val="Arial"/>
      <family val="0"/>
      <charset val="1"/>
    </font>
    <font>
      <b val="true"/>
      <sz val="9"/>
      <color rgb="FF462016"/>
      <name val="Arial"/>
      <family val="0"/>
      <charset val="1"/>
    </font>
    <font>
      <sz val="9"/>
      <color rgb="FF3D3D3B"/>
      <name val="Arial"/>
      <family val="0"/>
      <charset val="1"/>
    </font>
    <font>
      <sz val="9"/>
      <color rgb="FFB3261E"/>
      <name val="Arial"/>
      <family val="0"/>
      <charset val="1"/>
    </font>
    <font>
      <sz val="8"/>
      <color rgb="FF3D3D3B"/>
      <name val="Arial"/>
      <family val="0"/>
      <charset val="1"/>
    </font>
    <font>
      <b val="true"/>
      <sz val="9"/>
      <color rgb="FFB3261E"/>
      <name val="Arial"/>
      <family val="0"/>
      <charset val="1"/>
    </font>
    <font>
      <sz val="10"/>
      <name val="Arial"/>
      <family val="2"/>
    </font>
    <font>
      <sz val="9"/>
      <color rgb="FF8A7A6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37B05"/>
        <bgColor rgb="FFFF9900"/>
      </patternFill>
    </fill>
    <fill>
      <patternFill patternType="solid">
        <fgColor rgb="FFF2E8DB"/>
        <bgColor rgb="FFFDEBD0"/>
      </patternFill>
    </fill>
    <fill>
      <patternFill patternType="solid">
        <fgColor rgb="FFFBF6F0"/>
        <bgColor rgb="FFFFFFFF"/>
      </patternFill>
    </fill>
    <fill>
      <patternFill patternType="solid">
        <fgColor rgb="FFFDEBD0"/>
        <bgColor rgb="FFF2E8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7B0"/>
      </left>
      <right style="thin">
        <color rgb="FFD9C7B0"/>
      </right>
      <top style="thin">
        <color rgb="FFD9C7B0"/>
      </top>
      <bottom style="thin">
        <color rgb="FFD9C7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3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3261E"/>
      </font>
    </dxf>
    <dxf>
      <font>
        <name val="Arial"/>
        <charset val="1"/>
        <family val="0"/>
        <b val="1"/>
        <color rgb="FF146C4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6C4C"/>
      <rgbColor rgb="FFD9C7B0"/>
      <rgbColor rgb="FF8A7A6A"/>
      <rgbColor rgb="FF9999FF"/>
      <rgbColor rgb="FF8A5A3B"/>
      <rgbColor rgb="FFFBF6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2E8DB"/>
      <rgbColor rgb="FFFDEB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7B05"/>
      <rgbColor rgb="FF666699"/>
      <rgbColor rgb="FFAAAAAA"/>
      <rgbColor rgb="FF003366"/>
      <rgbColor rgb="FF339966"/>
      <rgbColor rgb="FF003300"/>
      <rgbColor rgb="FF462016"/>
      <rgbColor rgb="FFB3261E"/>
      <rgbColor rgb="FF993366"/>
      <rgbColor rgb="FF1F3FBF"/>
      <rgbColor rgb="FF3D3D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7B05"/>
    <pageSetUpPr fitToPage="true"/>
  </sheetPr>
  <dimension ref="B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33.75" hidden="false" customHeight="true" outlineLevel="0" collapsed="false">
      <c r="B1" s="1" t="s">
        <v>0</v>
      </c>
      <c r="C1" s="1"/>
      <c r="D1" s="1"/>
    </row>
    <row r="2" customFormat="false" ht="30" hidden="false" customHeight="true" outlineLevel="0" collapsed="false">
      <c r="B2" s="2" t="s">
        <v>1</v>
      </c>
      <c r="C2" s="2"/>
      <c r="D2" s="2"/>
    </row>
    <row r="4" customFormat="false" ht="48" hidden="false" customHeight="true" outlineLevel="0" collapsed="false">
      <c r="B4" s="3" t="s">
        <v>2</v>
      </c>
      <c r="C4" s="4" t="s">
        <v>3</v>
      </c>
    </row>
    <row r="5" customFormat="false" ht="48" hidden="false" customHeight="true" outlineLevel="0" collapsed="false">
      <c r="B5" s="3" t="s">
        <v>4</v>
      </c>
      <c r="C5" s="4" t="s">
        <v>5</v>
      </c>
    </row>
    <row r="6" customFormat="false" ht="48" hidden="false" customHeight="true" outlineLevel="0" collapsed="false">
      <c r="B6" s="3" t="s">
        <v>6</v>
      </c>
      <c r="C6" s="4" t="s">
        <v>7</v>
      </c>
    </row>
    <row r="7" customFormat="false" ht="48" hidden="false" customHeight="true" outlineLevel="0" collapsed="false">
      <c r="B7" s="3" t="s">
        <v>8</v>
      </c>
      <c r="C7" s="4" t="s">
        <v>9</v>
      </c>
    </row>
    <row r="8" customFormat="false" ht="48" hidden="false" customHeight="true" outlineLevel="0" collapsed="false">
      <c r="B8" s="3" t="s">
        <v>10</v>
      </c>
      <c r="C8" s="4" t="s">
        <v>11</v>
      </c>
    </row>
    <row r="9" customFormat="false" ht="48" hidden="false" customHeight="true" outlineLevel="0" collapsed="false">
      <c r="B9" s="3" t="s">
        <v>12</v>
      </c>
      <c r="C9" s="4" t="s">
        <v>13</v>
      </c>
    </row>
    <row r="10" customFormat="false" ht="48" hidden="false" customHeight="true" outlineLevel="0" collapsed="false">
      <c r="B10" s="3" t="s">
        <v>14</v>
      </c>
      <c r="C10" s="4" t="s">
        <v>15</v>
      </c>
    </row>
    <row r="11" customFormat="false" ht="48" hidden="false" customHeight="true" outlineLevel="0" collapsed="false">
      <c r="B11" s="3" t="s">
        <v>16</v>
      </c>
      <c r="C11" s="4" t="s">
        <v>17</v>
      </c>
    </row>
  </sheetData>
  <mergeCells count="2">
    <mergeCell ref="B1:D1"/>
    <mergeCell ref="B2:D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7B05"/>
    <pageSetUpPr fitToPage="true"/>
  </sheetPr>
  <dimension ref="B1:Z89"/>
  <sheetViews>
    <sheetView showFormulas="false" showGridLines="false" showRowColHeaders="true" showZeros="true" rightToLeft="false" tabSelected="true" showOutlineSymbols="true" defaultGridColor="true" view="normal" topLeftCell="A34" colorId="64" zoomScale="100" zoomScaleNormal="100" zoomScalePageLayoutView="100" workbookViewId="0">
      <pane xSplit="1" ySplit="0" topLeftCell="B34" activePane="topRight" state="frozen"/>
      <selection pane="topLeft" activeCell="A34" activeCellId="0" sqref="A34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9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11" min="8" style="0" width="13"/>
    <col collapsed="false" customWidth="true" hidden="false" outlineLevel="0" max="15" min="12" style="0" width="10"/>
    <col collapsed="false" customWidth="true" hidden="false" outlineLevel="0" max="16" min="16" style="0" width="13"/>
    <col collapsed="false" customWidth="true" hidden="false" outlineLevel="0" max="17" min="17" style="0" width="48"/>
    <col collapsed="false" customWidth="true" hidden="true" outlineLevel="0" max="26" min="19" style="0" width="8"/>
  </cols>
  <sheetData>
    <row r="1" customFormat="false" ht="33.75" hidden="false" customHeight="true" outlineLevel="0" collapsed="false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0" hidden="false" customHeight="true" outlineLevel="0" collapsed="false">
      <c r="B2" s="2" t="s">
        <v>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5" hidden="false" customHeight="true" outlineLevel="0" collapsed="false">
      <c r="B4" s="5" t="s">
        <v>20</v>
      </c>
      <c r="C4" s="5"/>
      <c r="D4" s="6" t="s">
        <v>21</v>
      </c>
      <c r="E4" s="7" t="s">
        <v>22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S4" s="8" t="n">
        <f aca="false">IF($D$4="Saisie libre",0,MATCH($D$4,'Cas exemples'!$D$4:$H$4,0))</f>
        <v>0</v>
      </c>
    </row>
    <row r="5" customFormat="false" ht="15" hidden="false" customHeight="false" outlineLevel="0" collapsed="false">
      <c r="S5" s="8" t="n">
        <f aca="false">MATCH($F$9,{"TPE","PME","GE"},0)</f>
        <v>2</v>
      </c>
    </row>
    <row r="6" customFormat="false" ht="15" hidden="false" customHeight="false" outlineLevel="0" collapsed="false">
      <c r="B6" s="9" t="s">
        <v>23</v>
      </c>
    </row>
    <row r="7" customFormat="false" ht="15" hidden="false" customHeight="true" outlineLevel="0" collapsed="false">
      <c r="B7" s="10" t="s">
        <v>24</v>
      </c>
      <c r="C7" s="10"/>
      <c r="D7" s="10"/>
      <c r="E7" s="10" t="s">
        <v>25</v>
      </c>
      <c r="F7" s="10" t="s">
        <v>26</v>
      </c>
      <c r="I7" s="10" t="s">
        <v>27</v>
      </c>
      <c r="J7" s="10"/>
      <c r="K7" s="10"/>
      <c r="L7" s="10"/>
      <c r="M7" s="10" t="s">
        <v>28</v>
      </c>
      <c r="N7" s="10"/>
      <c r="O7" s="10"/>
      <c r="P7" s="10"/>
      <c r="Q7" s="10"/>
    </row>
    <row r="8" customFormat="false" ht="23.85" hidden="false" customHeight="true" outlineLevel="0" collapsed="false">
      <c r="B8" s="11" t="s">
        <v>29</v>
      </c>
      <c r="C8" s="11"/>
      <c r="D8" s="11"/>
      <c r="E8" s="6" t="s">
        <v>30</v>
      </c>
      <c r="F8" s="12" t="str">
        <f aca="false">IF($S$4=0,E8,INDEX('Cas exemples'!$D$6:$H$6,1,$S$4))</f>
        <v>Entreprise exemple</v>
      </c>
      <c r="G8" s="12"/>
      <c r="I8" s="5" t="s">
        <v>31</v>
      </c>
      <c r="J8" s="5"/>
      <c r="K8" s="5"/>
      <c r="L8" s="5"/>
      <c r="M8" s="13" t="str">
        <f aca="false">IF($F$22="Oui","Défaut constaté : le grade de défaut s'impose, quel que soit le score",IF(SUMPRODUCT(($G$34:$G$78="Oui")*($X$34:$X$78=1)*($Y$34:$Y$78=0))&gt;0,"Pas de notation : donnée critique manquante",IF(NOT(AND($M$12&gt;=Paramètres!$C$6,COUNTIF($I$83:$I$89,"Oui")=0,IF(($F$12*Paramètres!$C$8+$F$13*Paramètres!$C$9+$F$14*Paramètres!$C$10+$F$15*Paramètres!$C$11)&gt;=Paramètres!$C$12,"A",IF(($F$12*Paramètres!$C$8+$F$13*Paramètres!$C$9+$F$14*Paramètres!$C$10+$F$15*Paramètres!$C$11)&gt;=Paramètres!$C$13,"B",IF(($F$12*Paramètres!$C$8+$F$13*Paramètres!$C$9+$F$14*Paramètres!$C$10+$F$15*Paramètres!$C$11)&gt;=Paramètres!$C$14,"C","U")))&lt;&gt;"U")),"Pas de grade : information insuffisante (compléter le dossier)","Noté")))</f>
        <v>Noté</v>
      </c>
      <c r="N8" s="13"/>
      <c r="O8" s="13"/>
      <c r="P8" s="13"/>
      <c r="Q8" s="13"/>
    </row>
    <row r="9" customFormat="false" ht="25.5" hidden="false" customHeight="true" outlineLevel="0" collapsed="false">
      <c r="B9" s="11" t="s">
        <v>32</v>
      </c>
      <c r="C9" s="11"/>
      <c r="D9" s="11"/>
      <c r="E9" s="6" t="s">
        <v>33</v>
      </c>
      <c r="F9" s="12" t="str">
        <f aca="false">IF($S$4=0,E9,INDEX('Cas exemples'!$D$7:$H$7,1,$S$4))</f>
        <v>PME</v>
      </c>
      <c r="G9" s="12"/>
      <c r="I9" s="5" t="s">
        <v>34</v>
      </c>
      <c r="J9" s="5"/>
      <c r="K9" s="5"/>
      <c r="L9" s="5"/>
      <c r="M9" s="14" t="str">
        <f aca="false">IF(SUMPRODUCT(($G$34:$G$78="Oui")*($X$34:$X$78=1)*($Y$34:$Y$78=0))&gt;0,IF($F$22="Oui",$F$23,"Aucun grade"),IF($F$22="Oui",$F$23,IF(NOT(AND($M$12&gt;=Paramètres!$C$6,COUNTIF($I$83:$I$89,"Oui")=0,IF(($F$12*Paramètres!$C$8+$F$13*Paramètres!$C$9+$F$14*Paramètres!$C$10+$F$15*Paramètres!$C$11)&gt;=Paramètres!$C$12,"A",IF(($F$12*Paramètres!$C$8+$F$13*Paramètres!$C$9+$F$14*Paramètres!$C$10+$F$15*Paramètres!$C$11)&gt;=Paramètres!$C$13,"B",IF(($F$12*Paramètres!$C$8+$F$13*Paramètres!$C$9+$F$14*Paramètres!$C$10+$F$15*Paramètres!$C$11)&gt;=Paramètres!$C$14,"C","U")))&lt;&gt;"U")),"Aucun grade",IF(AND($F$24="Oui",AND($F$25="Oui",$F$26="Oui",$F$27="Oui",$F$28="Oui")),INDEX(Paramètres!$B$20:$B$27,MAX(1,MATCH($M$17,Paramètres!$B$20:$B$27,0)-MIN($F$29,Paramètres!$C$15))),$M$17))))</f>
        <v>STD-P3</v>
      </c>
      <c r="N9" s="14"/>
      <c r="O9" s="14"/>
      <c r="P9" s="14"/>
      <c r="Q9" s="14"/>
    </row>
    <row r="10" customFormat="false" ht="25.5" hidden="false" customHeight="true" outlineLevel="0" collapsed="false">
      <c r="B10" s="11" t="s">
        <v>35</v>
      </c>
      <c r="C10" s="11"/>
      <c r="D10" s="11"/>
      <c r="E10" s="6" t="s">
        <v>36</v>
      </c>
      <c r="F10" s="12" t="str">
        <f aca="false">IF($S$4=0,E10,INDEX('Cas exemples'!$D$8:$H$8,1,$S$4))</f>
        <v>Non</v>
      </c>
      <c r="G10" s="12"/>
      <c r="I10" s="5" t="s">
        <v>37</v>
      </c>
      <c r="J10" s="5"/>
      <c r="K10" s="5"/>
      <c r="L10" s="5"/>
      <c r="M10" s="15" t="n">
        <f aca="false">IF(OR(SUM($N$34:$N$78)=0,SUMPRODUCT(($G$34:$G$78="Oui")*($X$34:$X$78=1)*($Y$34:$Y$78=0))&gt;0),"—",SUM($Z$34:$Z$78)/SUM($N$34:$N$78))</f>
        <v>81</v>
      </c>
      <c r="N10" s="15"/>
      <c r="O10" s="15"/>
      <c r="P10" s="15"/>
      <c r="Q10" s="15"/>
    </row>
    <row r="11" customFormat="false" ht="15" hidden="false" customHeight="true" outlineLevel="0" collapsed="false">
      <c r="B11" s="11" t="s">
        <v>38</v>
      </c>
      <c r="C11" s="11"/>
      <c r="D11" s="11"/>
      <c r="E11" s="6" t="s">
        <v>36</v>
      </c>
      <c r="F11" s="12" t="str">
        <f aca="false">IF($S$4=0,E11,INDEX('Cas exemples'!$D$9:$H$9,1,$S$4))</f>
        <v>Non</v>
      </c>
      <c r="G11" s="12"/>
      <c r="I11" s="5" t="s">
        <v>39</v>
      </c>
      <c r="J11" s="5"/>
      <c r="K11" s="5"/>
      <c r="L11" s="5"/>
      <c r="M11" s="13" t="str">
        <f aca="false">IF(AND(ISNUMBER($M$10),OR($F$22="Oui",AND($M$12&gt;=Paramètres!$C$6,COUNTIF($I$83:$I$89,"Oui")=0,IF(($F$12*Paramètres!$C$8+$F$13*Paramètres!$C$9+$F$14*Paramètres!$C$10+$F$15*Paramètres!$C$11)&gt;=Paramètres!$C$12,"A",IF(($F$12*Paramètres!$C$8+$F$13*Paramètres!$C$9+$F$14*Paramètres!$C$10+$F$15*Paramètres!$C$11)&gt;=Paramètres!$C$13,"B",IF(($F$12*Paramètres!$C$8+$F$13*Paramètres!$C$9+$F$14*Paramètres!$C$10+$F$15*Paramètres!$C$11)&gt;=Paramètres!$C$14,"C","U")))&lt;&gt;"U"))),INDEX(Paramètres!$B$20:$B$27,MATCH(1,INDEX(($M$10&gt;=Paramètres!$C$20:$C$27)*1,0),0)),"—")</f>
        <v>STD-P3</v>
      </c>
      <c r="N11" s="13"/>
      <c r="O11" s="13"/>
      <c r="P11" s="13"/>
      <c r="Q11" s="13"/>
    </row>
    <row r="12" customFormat="false" ht="15" hidden="false" customHeight="true" outlineLevel="0" collapsed="false">
      <c r="B12" s="11" t="s">
        <v>40</v>
      </c>
      <c r="C12" s="11"/>
      <c r="D12" s="11"/>
      <c r="E12" s="6" t="n">
        <v>100</v>
      </c>
      <c r="F12" s="12" t="n">
        <f aca="false">IF($S$4=0,E12,INDEX('Cas exemples'!$D$10:$H$10,1,$S$4))</f>
        <v>100</v>
      </c>
      <c r="G12" s="12"/>
      <c r="I12" s="5" t="s">
        <v>41</v>
      </c>
      <c r="J12" s="5"/>
      <c r="K12" s="5"/>
      <c r="L12" s="5"/>
      <c r="M12" s="16" t="n">
        <f aca="false">IF(SUM($N$34:$N$78)=0,0,SUM($O$34:$O$78)/SUM($N$34:$N$78))</f>
        <v>1</v>
      </c>
      <c r="N12" s="16"/>
      <c r="O12" s="16"/>
      <c r="P12" s="16"/>
      <c r="Q12" s="16"/>
    </row>
    <row r="13" customFormat="false" ht="15" hidden="false" customHeight="true" outlineLevel="0" collapsed="false">
      <c r="B13" s="11" t="s">
        <v>42</v>
      </c>
      <c r="C13" s="11"/>
      <c r="D13" s="11"/>
      <c r="E13" s="6" t="n">
        <v>100</v>
      </c>
      <c r="F13" s="12" t="n">
        <f aca="false">IF($S$4=0,E13,INDEX('Cas exemples'!$D$11:$H$11,1,$S$4))</f>
        <v>100</v>
      </c>
      <c r="G13" s="12"/>
      <c r="I13" s="5" t="s">
        <v>43</v>
      </c>
      <c r="J13" s="5"/>
      <c r="K13" s="5"/>
      <c r="L13" s="5"/>
      <c r="M13" s="13" t="str">
        <f aca="false">IF(COUNTIF($I$83:$I$89,"Oui")=0,"Aucun",_xlfn.TEXTJOIN(", ",TRUE(),IF(I83="Oui",B83,""),IF(I84="Oui",B84,""),IF(I85="Oui",B85,""),IF(I86="Oui",B86,""),IF(I87="Oui",B87,""),IF(I88="Oui",B88,""),IF(I89="Oui",B89,"")))</f>
        <v>Aucun</v>
      </c>
      <c r="N13" s="13"/>
      <c r="O13" s="13"/>
      <c r="P13" s="13"/>
      <c r="Q13" s="13"/>
    </row>
    <row r="14" customFormat="false" ht="15" hidden="false" customHeight="true" outlineLevel="0" collapsed="false">
      <c r="B14" s="11" t="s">
        <v>44</v>
      </c>
      <c r="C14" s="11"/>
      <c r="D14" s="11"/>
      <c r="E14" s="6" t="n">
        <v>75</v>
      </c>
      <c r="F14" s="12" t="n">
        <f aca="false">IF($S$4=0,E14,INDEX('Cas exemples'!$D$12:$H$12,1,$S$4))</f>
        <v>75</v>
      </c>
      <c r="G14" s="12"/>
      <c r="I14" s="5" t="s">
        <v>45</v>
      </c>
      <c r="J14" s="5"/>
      <c r="K14" s="5"/>
      <c r="L14" s="5"/>
      <c r="M14" s="13" t="str">
        <f aca="false">FIXED(($F$12*Paramètres!$C$8+$F$13*Paramètres!$C$9+$F$14*Paramètres!$C$10+$F$15*Paramètres!$C$11),2)&amp;" — classe "&amp;IF(($F$12*Paramètres!$C$8+$F$13*Paramètres!$C$9+$F$14*Paramètres!$C$10+$F$15*Paramètres!$C$11)&gt;=Paramètres!$C$12,"A",IF(($F$12*Paramètres!$C$8+$F$13*Paramètres!$C$9+$F$14*Paramètres!$C$10+$F$15*Paramètres!$C$11)&gt;=Paramètres!$C$13,"B",IF(($F$12*Paramètres!$C$8+$F$13*Paramètres!$C$9+$F$14*Paramètres!$C$10+$F$15*Paramètres!$C$11)&gt;=Paramètres!$C$14,"C","U")))</f>
        <v>88.75 — classe A</v>
      </c>
      <c r="N14" s="13"/>
      <c r="O14" s="13"/>
      <c r="P14" s="13"/>
      <c r="Q14" s="13"/>
    </row>
    <row r="15" customFormat="false" ht="15" hidden="false" customHeight="true" outlineLevel="0" collapsed="false">
      <c r="B15" s="11" t="s">
        <v>46</v>
      </c>
      <c r="C15" s="11"/>
      <c r="D15" s="11"/>
      <c r="E15" s="6" t="n">
        <v>75</v>
      </c>
      <c r="F15" s="12" t="n">
        <f aca="false">IF($S$4=0,E15,INDEX('Cas exemples'!$D$13:$H$13,1,$S$4))</f>
        <v>75</v>
      </c>
      <c r="G15" s="12"/>
      <c r="I15" s="5" t="s">
        <v>47</v>
      </c>
      <c r="J15" s="5"/>
      <c r="K15" s="5"/>
      <c r="L15" s="5"/>
      <c r="M15" s="13" t="str">
        <f aca="false">IF(SUMPRODUCT(($G$34:$G$78="Oui")*($X$34:$X$78=1)*($Y$34:$Y$78=0))=0,"Aucune",SUMPRODUCT(($G$34:$G$78="Oui")*($X$34:$X$78=1)*($Y$34:$Y$78=0))&amp;" critère(s) critique(s) : notation impossible")</f>
        <v>Aucune</v>
      </c>
      <c r="N15" s="13"/>
      <c r="O15" s="13"/>
      <c r="P15" s="13"/>
      <c r="Q15" s="13"/>
    </row>
    <row r="16" customFormat="false" ht="23.85" hidden="false" customHeight="true" outlineLevel="0" collapsed="false">
      <c r="B16" s="11" t="s">
        <v>48</v>
      </c>
      <c r="C16" s="11"/>
      <c r="D16" s="11"/>
      <c r="E16" s="6" t="s">
        <v>36</v>
      </c>
      <c r="F16" s="12" t="str">
        <f aca="false">IF($S$4=0,E16,INDEX('Cas exemples'!$D$14:$H$14,1,$S$4))</f>
        <v>Non</v>
      </c>
      <c r="G16" s="12"/>
      <c r="I16" s="5" t="s">
        <v>49</v>
      </c>
      <c r="J16" s="5"/>
      <c r="K16" s="5"/>
      <c r="L16" s="5"/>
      <c r="M16" s="13" t="str">
        <f aca="false">IF(($F$16="Oui")+($F$17="Oui")+($F$18="Oui")+($F$19="Oui")=0,"Aucune",_xlfn.TEXTJOIN(", ",TRUE(),IF($F$16="Oui","NC01 (plafond "&amp;Paramètres!$C$31&amp;")",""),IF($F$17="Oui","NC02 (plafond "&amp;Paramètres!$C$32&amp;")",""),IF($F$18="Oui","NC03 (plafond "&amp;Paramètres!$C$33&amp;")",""),IF($F$19="Oui","NC04 (plafond "&amp;Paramètres!$C$34&amp;")","")))</f>
        <v>Aucune</v>
      </c>
      <c r="N16" s="13"/>
      <c r="O16" s="13"/>
      <c r="P16" s="13"/>
      <c r="Q16" s="13"/>
    </row>
    <row r="17" customFormat="false" ht="15" hidden="false" customHeight="true" outlineLevel="0" collapsed="false">
      <c r="B17" s="11" t="s">
        <v>50</v>
      </c>
      <c r="C17" s="11"/>
      <c r="D17" s="11"/>
      <c r="E17" s="6" t="s">
        <v>36</v>
      </c>
      <c r="F17" s="12" t="str">
        <f aca="false">IF($S$4=0,E17,INDEX('Cas exemples'!$D$15:$H$15,1,$S$4))</f>
        <v>Non</v>
      </c>
      <c r="G17" s="12"/>
      <c r="I17" s="5" t="s">
        <v>51</v>
      </c>
      <c r="J17" s="5"/>
      <c r="K17" s="5"/>
      <c r="L17" s="5"/>
      <c r="M17" s="13" t="str">
        <f aca="false">IF(OR(SUMPRODUCT(($G$34:$G$78="Oui")*($X$34:$X$78=1)*($Y$34:$Y$78=0))&gt;0,$F$22="Oui",NOT(AND($M$12&gt;=Paramètres!$C$6,COUNTIF($I$83:$I$89,"Oui")=0,IF(($F$12*Paramètres!$C$8+$F$13*Paramètres!$C$9+$F$14*Paramètres!$C$10+$F$15*Paramètres!$C$11)&gt;=Paramètres!$C$12,"A",IF(($F$12*Paramètres!$C$8+$F$13*Paramètres!$C$9+$F$14*Paramètres!$C$10+$F$15*Paramètres!$C$11)&gt;=Paramètres!$C$13,"B",IF(($F$12*Paramètres!$C$8+$F$13*Paramètres!$C$9+$F$14*Paramètres!$C$10+$F$15*Paramètres!$C$11)&gt;=Paramètres!$C$14,"C","U")))&lt;&gt;"U"))),"—",INDEX(Paramètres!$B$20:$B$27,MAX(MATCH($M$11,Paramètres!$B$20:$B$27,0),IF($F$16="Oui",MATCH(Paramètres!$C$31,Paramètres!$B$20:$B$27,0),0),IF($F$17="Oui",MATCH(Paramètres!$C$32,Paramètres!$B$20:$B$27,0),0),IF($F$18="Oui",MATCH(Paramètres!$C$33,Paramètres!$B$20:$B$27,0),0),IF($F$19="Oui",MATCH(Paramètres!$C$34,Paramètres!$B$20:$B$27,0),0))))</f>
        <v>STD-P3</v>
      </c>
      <c r="N17" s="13"/>
      <c r="O17" s="13"/>
      <c r="P17" s="13"/>
      <c r="Q17" s="13"/>
    </row>
    <row r="18" customFormat="false" ht="23.85" hidden="false" customHeight="true" outlineLevel="0" collapsed="false">
      <c r="B18" s="11" t="s">
        <v>52</v>
      </c>
      <c r="C18" s="11"/>
      <c r="D18" s="11"/>
      <c r="E18" s="6" t="s">
        <v>36</v>
      </c>
      <c r="F18" s="12" t="str">
        <f aca="false">IF($S$4=0,E18,INDEX('Cas exemples'!$D$16:$H$16,1,$S$4))</f>
        <v>Non</v>
      </c>
      <c r="G18" s="12"/>
      <c r="I18" s="5" t="s">
        <v>53</v>
      </c>
      <c r="J18" s="5"/>
      <c r="K18" s="5"/>
      <c r="L18" s="5"/>
      <c r="M18" s="13" t="str">
        <f aca="false">IF($F$24&lt;&gt;"Oui","Non demandé",IF($M$17="—","Sans objet (pas de note autonome)",IF(NOT(AND($F$25="Oui",$F$26="Oui",$F$27="Oui",$F$28="Oui")),"Refusé : les quatre conditions ne sont pas toutes documentées",IF(MIN($F$29,Paramètres!$C$15)=0,"Conditions remplies, aucun cran demandé","Relèvement de "&amp;MIN($F$29,Paramètres!$C$15)&amp;" cran(s)"))))</f>
        <v>Non demandé</v>
      </c>
      <c r="N18" s="13"/>
      <c r="O18" s="13"/>
      <c r="P18" s="13"/>
      <c r="Q18" s="13"/>
    </row>
    <row r="19" customFormat="false" ht="23.85" hidden="false" customHeight="true" outlineLevel="0" collapsed="false">
      <c r="B19" s="11" t="s">
        <v>54</v>
      </c>
      <c r="C19" s="11"/>
      <c r="D19" s="11"/>
      <c r="E19" s="6" t="s">
        <v>36</v>
      </c>
      <c r="F19" s="12" t="str">
        <f aca="false">IF($S$4=0,E19,INDEX('Cas exemples'!$D$17:$H$17,1,$S$4))</f>
        <v>Non</v>
      </c>
      <c r="G19" s="12"/>
      <c r="I19" s="5" t="s">
        <v>55</v>
      </c>
      <c r="J19" s="5"/>
      <c r="K19" s="5"/>
      <c r="L19" s="5"/>
      <c r="M19" s="13" t="str">
        <f aca="false">IF($F$20="Oui","BLOQUÉ : aucune opération nouvelle ; note produite pour la surveillance",IF($F$21="Oui","Alerte à revoir par l'analyste","Aucun signal bloquant"))</f>
        <v>Aucun signal bloquant</v>
      </c>
      <c r="N19" s="13"/>
      <c r="O19" s="13"/>
      <c r="P19" s="13"/>
      <c r="Q19" s="13"/>
    </row>
    <row r="20" customFormat="false" ht="15" hidden="false" customHeight="true" outlineLevel="0" collapsed="false">
      <c r="B20" s="11" t="s">
        <v>56</v>
      </c>
      <c r="C20" s="11"/>
      <c r="D20" s="11"/>
      <c r="E20" s="6" t="s">
        <v>36</v>
      </c>
      <c r="F20" s="12" t="str">
        <f aca="false">IF($S$4=0,E20,INDEX('Cas exemples'!$D$18:$H$18,1,$S$4))</f>
        <v>Non</v>
      </c>
      <c r="G20" s="12"/>
      <c r="I20" s="5" t="s">
        <v>57</v>
      </c>
      <c r="J20" s="5"/>
      <c r="K20" s="5"/>
      <c r="L20" s="5"/>
      <c r="M20" s="13" t="str">
        <f aca="false">IF($S$4=0,"(saisie libre : pas de référence)",INDEX('Cas exemples'!$D$123:$H$123,1,$S$4)&amp;IFERROR(" — score "&amp;FIXED(INDEX('Cas exemples'!$D$121:$H$121,1,$S$4),2),"")&amp;IF(INDEX('Cas exemples'!$D$123:$H$123,1,$S$4)=IF($M$9="Aucun grade","—",$M$9),"  ✔ concordant","  ✘ écart"))</f>
        <v>(saisie libre : pas de référence)</v>
      </c>
      <c r="N20" s="13"/>
      <c r="O20" s="13"/>
      <c r="P20" s="13"/>
      <c r="Q20" s="13"/>
    </row>
    <row r="21" customFormat="false" ht="15" hidden="false" customHeight="true" outlineLevel="0" collapsed="false">
      <c r="B21" s="11" t="s">
        <v>58</v>
      </c>
      <c r="C21" s="11"/>
      <c r="D21" s="11"/>
      <c r="E21" s="6" t="s">
        <v>36</v>
      </c>
      <c r="F21" s="12" t="str">
        <f aca="false">IF($S$4=0,E21,INDEX('Cas exemples'!$D$19:$H$19,1,$S$4))</f>
        <v>Non</v>
      </c>
      <c r="G21" s="12"/>
    </row>
    <row r="22" customFormat="false" ht="15" hidden="false" customHeight="true" outlineLevel="0" collapsed="false">
      <c r="B22" s="11" t="s">
        <v>59</v>
      </c>
      <c r="C22" s="11"/>
      <c r="D22" s="11"/>
      <c r="E22" s="6" t="s">
        <v>36</v>
      </c>
      <c r="F22" s="12" t="str">
        <f aca="false">IF($S$4=0,E22,INDEX('Cas exemples'!$D$20:$H$20,1,$S$4))</f>
        <v>Non</v>
      </c>
      <c r="G22" s="12"/>
    </row>
    <row r="23" customFormat="false" ht="15" hidden="false" customHeight="true" outlineLevel="0" collapsed="false">
      <c r="B23" s="11" t="s">
        <v>60</v>
      </c>
      <c r="C23" s="11"/>
      <c r="D23" s="11"/>
      <c r="E23" s="6" t="s">
        <v>61</v>
      </c>
      <c r="F23" s="12" t="str">
        <f aca="false">IF($S$4=0,E23,INDEX('Cas exemples'!$D$21:$H$21,1,$S$4))</f>
        <v>DEF1</v>
      </c>
      <c r="G23" s="12"/>
    </row>
    <row r="24" customFormat="false" ht="15" hidden="false" customHeight="true" outlineLevel="0" collapsed="false">
      <c r="B24" s="11" t="s">
        <v>62</v>
      </c>
      <c r="C24" s="11"/>
      <c r="D24" s="11"/>
      <c r="E24" s="6" t="s">
        <v>36</v>
      </c>
      <c r="F24" s="12" t="str">
        <f aca="false">IF($S$4=0,E24,INDEX('Cas exemples'!$D$22:$H$22,1,$S$4))</f>
        <v>Non</v>
      </c>
      <c r="G24" s="12"/>
    </row>
    <row r="25" customFormat="false" ht="15" hidden="false" customHeight="true" outlineLevel="0" collapsed="false">
      <c r="B25" s="11" t="s">
        <v>63</v>
      </c>
      <c r="C25" s="11"/>
      <c r="D25" s="11"/>
      <c r="E25" s="6" t="s">
        <v>36</v>
      </c>
      <c r="F25" s="12" t="str">
        <f aca="false">IF($S$4=0,E25,INDEX('Cas exemples'!$D$23:$H$23,1,$S$4))</f>
        <v>Non</v>
      </c>
      <c r="G25" s="12"/>
    </row>
    <row r="26" customFormat="false" ht="15" hidden="false" customHeight="true" outlineLevel="0" collapsed="false">
      <c r="B26" s="11" t="s">
        <v>64</v>
      </c>
      <c r="C26" s="11"/>
      <c r="D26" s="11"/>
      <c r="E26" s="6" t="s">
        <v>36</v>
      </c>
      <c r="F26" s="12" t="str">
        <f aca="false">IF($S$4=0,E26,INDEX('Cas exemples'!$D$24:$H$24,1,$S$4))</f>
        <v>Non</v>
      </c>
      <c r="G26" s="12"/>
    </row>
    <row r="27" customFormat="false" ht="15" hidden="false" customHeight="true" outlineLevel="0" collapsed="false">
      <c r="B27" s="11" t="s">
        <v>65</v>
      </c>
      <c r="C27" s="11"/>
      <c r="D27" s="11"/>
      <c r="E27" s="6" t="s">
        <v>36</v>
      </c>
      <c r="F27" s="12" t="str">
        <f aca="false">IF($S$4=0,E27,INDEX('Cas exemples'!$D$25:$H$25,1,$S$4))</f>
        <v>Non</v>
      </c>
      <c r="G27" s="12"/>
    </row>
    <row r="28" customFormat="false" ht="15" hidden="false" customHeight="true" outlineLevel="0" collapsed="false">
      <c r="B28" s="11" t="s">
        <v>66</v>
      </c>
      <c r="C28" s="11"/>
      <c r="D28" s="11"/>
      <c r="E28" s="6" t="s">
        <v>36</v>
      </c>
      <c r="F28" s="12" t="str">
        <f aca="false">IF($S$4=0,E28,INDEX('Cas exemples'!$D$26:$H$26,1,$S$4))</f>
        <v>Non</v>
      </c>
      <c r="G28" s="12"/>
    </row>
    <row r="29" customFormat="false" ht="15" hidden="false" customHeight="true" outlineLevel="0" collapsed="false">
      <c r="B29" s="11" t="s">
        <v>67</v>
      </c>
      <c r="C29" s="11"/>
      <c r="D29" s="11"/>
      <c r="E29" s="6" t="n">
        <v>0</v>
      </c>
      <c r="F29" s="12" t="n">
        <f aca="false">IF($S$4=0,E29,INDEX('Cas exemples'!$D$27:$H$27,1,$S$4))</f>
        <v>0</v>
      </c>
      <c r="G29" s="12"/>
    </row>
    <row r="32" customFormat="false" ht="15" hidden="false" customHeight="false" outlineLevel="0" collapsed="false">
      <c r="B32" s="9" t="s">
        <v>68</v>
      </c>
    </row>
    <row r="33" customFormat="false" ht="30" hidden="false" customHeight="true" outlineLevel="0" collapsed="false">
      <c r="B33" s="10" t="s">
        <v>69</v>
      </c>
      <c r="C33" s="10" t="s">
        <v>70</v>
      </c>
      <c r="D33" s="10" t="s">
        <v>71</v>
      </c>
      <c r="E33" s="10" t="s">
        <v>72</v>
      </c>
      <c r="F33" s="10" t="s">
        <v>73</v>
      </c>
      <c r="G33" s="10" t="s">
        <v>74</v>
      </c>
      <c r="H33" s="10" t="s">
        <v>75</v>
      </c>
      <c r="I33" s="10" t="s">
        <v>76</v>
      </c>
      <c r="J33" s="10" t="s">
        <v>77</v>
      </c>
      <c r="K33" s="10" t="s">
        <v>78</v>
      </c>
      <c r="L33" s="10" t="s">
        <v>79</v>
      </c>
      <c r="M33" s="10" t="s">
        <v>80</v>
      </c>
      <c r="N33" s="10" t="s">
        <v>81</v>
      </c>
      <c r="O33" s="10" t="s">
        <v>82</v>
      </c>
      <c r="P33" s="10" t="s">
        <v>83</v>
      </c>
      <c r="Q33" s="10" t="s">
        <v>84</v>
      </c>
    </row>
    <row r="34" customFormat="false" ht="30" hidden="false" customHeight="true" outlineLevel="0" collapsed="false">
      <c r="B34" s="17" t="s">
        <v>85</v>
      </c>
      <c r="C34" s="18" t="s">
        <v>86</v>
      </c>
      <c r="D34" s="19" t="s">
        <v>87</v>
      </c>
      <c r="E34" s="18" t="s">
        <v>88</v>
      </c>
      <c r="F34" s="18"/>
      <c r="G34" s="20"/>
      <c r="H34" s="6" t="s">
        <v>89</v>
      </c>
      <c r="I34" s="6" t="n">
        <v>75</v>
      </c>
      <c r="J34" s="21" t="str">
        <f aca="false">IF($S$4=0,H34,INDEX('Cas exemples'!$D$28:$H$28,1,$S$4))</f>
        <v>Disponible</v>
      </c>
      <c r="K34" s="21" t="n">
        <f aca="false">IF($S$4=0,IF(I34="","",I34),IF(INDEX('Cas exemples'!$D$29:$H$29,1,$S$4)="","",INDEX('Cas exemples'!$D$29:$H$29,1,$S$4)))</f>
        <v>75</v>
      </c>
      <c r="L34" s="22" t="n">
        <f aca="false">IF(Y34=1,"écarté",IF(X34=1,Paramètres!$C$5,K34))</f>
        <v>75</v>
      </c>
      <c r="M34" s="23" t="n">
        <f aca="false">INDEX(Grille!$H$5:$J$5,1,$S$5)</f>
        <v>0.03</v>
      </c>
      <c r="N34" s="23" t="n">
        <f aca="false">IF(Y34=1,0,M34)</f>
        <v>0.03</v>
      </c>
      <c r="O34" s="23" t="n">
        <f aca="false">IF(AND(J34="Disponible",X34=0),N34,0)</f>
        <v>0.03</v>
      </c>
      <c r="P34" s="24" t="n">
        <f aca="false">IF(SUM($N$34:$N$78)=0,0,Z34/SUM($N$34:$N$78))</f>
        <v>2.25</v>
      </c>
      <c r="Q34" s="25" t="str">
        <f aca="false">IF(ISNUMBER(L34),IFERROR(INDEX(Grille!$X$5:$AB$5,1,MATCH(L34,{100,75,50,25,0},0)),""),"")</f>
        <v>CAGR 0 % à +3 % ou +20 % à +30 % ; une baisse ponctuelle ≤ 10 % expliquée et corrigée</v>
      </c>
      <c r="X34" s="26" t="n">
        <f aca="false">IF(OR(J34="Manquante",K34=""),1,0)</f>
        <v>0</v>
      </c>
      <c r="Y34" s="0" t="n">
        <v>0</v>
      </c>
      <c r="Z34" s="26" t="n">
        <f aca="false">IF(ISNUMBER(L34),L34*N34,0)</f>
        <v>2.25</v>
      </c>
    </row>
    <row r="35" customFormat="false" ht="30" hidden="false" customHeight="true" outlineLevel="0" collapsed="false">
      <c r="B35" s="27" t="s">
        <v>90</v>
      </c>
      <c r="C35" s="28" t="s">
        <v>86</v>
      </c>
      <c r="D35" s="29" t="s">
        <v>91</v>
      </c>
      <c r="E35" s="28" t="s">
        <v>88</v>
      </c>
      <c r="F35" s="28"/>
      <c r="G35" s="30"/>
      <c r="H35" s="6" t="s">
        <v>89</v>
      </c>
      <c r="I35" s="6" t="n">
        <v>75</v>
      </c>
      <c r="J35" s="31" t="str">
        <f aca="false">IF($S$4=0,H35,INDEX('Cas exemples'!$D$30:$H$30,1,$S$4))</f>
        <v>Disponible</v>
      </c>
      <c r="K35" s="31" t="n">
        <f aca="false">IF($S$4=0,IF(I35="","",I35),IF(INDEX('Cas exemples'!$D$31:$H$31,1,$S$4)="","",INDEX('Cas exemples'!$D$31:$H$31,1,$S$4)))</f>
        <v>75</v>
      </c>
      <c r="L35" s="32" t="n">
        <f aca="false">IF(Y35=1,"écarté",IF(X35=1,Paramètres!$C$5,K35))</f>
        <v>75</v>
      </c>
      <c r="M35" s="33" t="n">
        <f aca="false">INDEX(Grille!$H$6:$J$6,1,$S$5)</f>
        <v>0.04</v>
      </c>
      <c r="N35" s="33" t="n">
        <f aca="false">IF(Y35=1,0,M35)</f>
        <v>0.04</v>
      </c>
      <c r="O35" s="33" t="n">
        <f aca="false">IF(AND(J35="Disponible",X35=0),N35,0)</f>
        <v>0.04</v>
      </c>
      <c r="P35" s="34" t="n">
        <f aca="false">IF(SUM($N$34:$N$78)=0,0,Z35/SUM($N$34:$N$78))</f>
        <v>3</v>
      </c>
      <c r="Q35" s="35" t="str">
        <f aca="false">IF(ISNUMBER(L35),IFERROR(INDEX(Grille!$X$6:$AB$6,1,MATCH(L35,{100,75,50,25,0},0)),""),"")</f>
        <v>Marge entre P50 et P75, positive et stable à ±1 point</v>
      </c>
      <c r="X35" s="26" t="n">
        <f aca="false">IF(OR(J35="Manquante",K35=""),1,0)</f>
        <v>0</v>
      </c>
      <c r="Y35" s="0" t="n">
        <v>0</v>
      </c>
      <c r="Z35" s="26" t="n">
        <f aca="false">IF(ISNUMBER(L35),L35*N35,0)</f>
        <v>3</v>
      </c>
    </row>
    <row r="36" customFormat="false" ht="30" hidden="false" customHeight="true" outlineLevel="0" collapsed="false">
      <c r="B36" s="17" t="s">
        <v>92</v>
      </c>
      <c r="C36" s="18" t="s">
        <v>86</v>
      </c>
      <c r="D36" s="19" t="s">
        <v>93</v>
      </c>
      <c r="E36" s="18" t="s">
        <v>88</v>
      </c>
      <c r="F36" s="18"/>
      <c r="G36" s="20"/>
      <c r="H36" s="6" t="s">
        <v>89</v>
      </c>
      <c r="I36" s="6" t="n">
        <v>50</v>
      </c>
      <c r="J36" s="21" t="str">
        <f aca="false">IF($S$4=0,H36,INDEX('Cas exemples'!$D$32:$H$32,1,$S$4))</f>
        <v>Disponible</v>
      </c>
      <c r="K36" s="21" t="n">
        <f aca="false">IF($S$4=0,IF(I36="","",I36),IF(INDEX('Cas exemples'!$D$33:$H$33,1,$S$4)="","",INDEX('Cas exemples'!$D$33:$H$33,1,$S$4)))</f>
        <v>50</v>
      </c>
      <c r="L36" s="22" t="n">
        <f aca="false">IF(Y36=1,"écarté",IF(X36=1,Paramètres!$C$5,K36))</f>
        <v>50</v>
      </c>
      <c r="M36" s="23" t="n">
        <f aca="false">INDEX(Grille!$H$7:$J$7,1,$S$5)</f>
        <v>0.03</v>
      </c>
      <c r="N36" s="23" t="n">
        <f aca="false">IF(Y36=1,0,M36)</f>
        <v>0.03</v>
      </c>
      <c r="O36" s="23" t="n">
        <f aca="false">IF(AND(J36="Disponible",X36=0),N36,0)</f>
        <v>0.03</v>
      </c>
      <c r="P36" s="24" t="n">
        <f aca="false">IF(SUM($N$34:$N$78)=0,0,Z36/SUM($N$34:$N$78))</f>
        <v>1.5</v>
      </c>
      <c r="Q36" s="25" t="str">
        <f aca="false">IF(ISNUMBER(L36),IFERROR(INDEX(Grille!$X$7:$AB$7,1,MATCH(L36,{100,75,50,25,0},0)),""),"")</f>
        <v>P25 à P50, faible mais positif, ou un exercice déficitaire non récurrent</v>
      </c>
      <c r="X36" s="26" t="n">
        <f aca="false">IF(OR(J36="Manquante",K36=""),1,0)</f>
        <v>0</v>
      </c>
      <c r="Y36" s="0" t="n">
        <v>0</v>
      </c>
      <c r="Z36" s="26" t="n">
        <f aca="false">IF(ISNUMBER(L36),L36*N36,0)</f>
        <v>1.5</v>
      </c>
    </row>
    <row r="37" customFormat="false" ht="30" hidden="false" customHeight="true" outlineLevel="0" collapsed="false">
      <c r="B37" s="27" t="s">
        <v>94</v>
      </c>
      <c r="C37" s="28" t="s">
        <v>86</v>
      </c>
      <c r="D37" s="29" t="s">
        <v>95</v>
      </c>
      <c r="E37" s="28" t="s">
        <v>96</v>
      </c>
      <c r="F37" s="28" t="s">
        <v>97</v>
      </c>
      <c r="G37" s="36" t="s">
        <v>98</v>
      </c>
      <c r="H37" s="6" t="s">
        <v>89</v>
      </c>
      <c r="I37" s="6" t="n">
        <v>38</v>
      </c>
      <c r="J37" s="31" t="str">
        <f aca="false">IF($S$4=0,H37,INDEX('Cas exemples'!$D$34:$H$34,1,$S$4))</f>
        <v>Disponible</v>
      </c>
      <c r="K37" s="31" t="n">
        <f aca="false">IF($S$4=0,IF(I37="","",I37),IF(INDEX('Cas exemples'!$D$35:$H$35,1,$S$4)="","",INDEX('Cas exemples'!$D$35:$H$35,1,$S$4)))</f>
        <v>38</v>
      </c>
      <c r="L37" s="32" t="n">
        <f aca="false">IF(Y37=1,"écarté",IF(X37=1,Paramètres!$C$5,IF(W37="Croissant",IF(K37&gt;=S37,100,IF(K37&gt;=T37,75,IF(K37&gt;=U37,50,IF(K37&gt;=V37,25,0)))),IF(K37&lt;=S37,100,IF(K37&lt;=T37,75,IF(K37&lt;=U37,50,IF(K37&lt;=V37,25,0)))))))</f>
        <v>100</v>
      </c>
      <c r="M37" s="33" t="n">
        <f aca="false">INDEX(Grille!$H$8:$J$8,1,$S$5)</f>
        <v>0.05</v>
      </c>
      <c r="N37" s="33" t="n">
        <f aca="false">IF(Y37=1,0,M37)</f>
        <v>0.05</v>
      </c>
      <c r="O37" s="33" t="n">
        <f aca="false">IF(AND(J37="Disponible",X37=0),N37,0)</f>
        <v>0.05</v>
      </c>
      <c r="P37" s="34" t="n">
        <f aca="false">IF(SUM($N$34:$N$78)=0,0,Z37/SUM($N$34:$N$78))</f>
        <v>5</v>
      </c>
      <c r="Q37" s="35" t="str">
        <f aca="false">IF(W37="Croissant","100 si ≥ "&amp;S37&amp;" · 75 si ≥ "&amp;T37&amp;" · 50 si ≥ "&amp;U37&amp;" · 25 si ≥ "&amp;V37&amp;" · sinon 0","100 si ≤ "&amp;S37&amp;" · 75 si ≤ "&amp;T37&amp;" · 50 si ≤ "&amp;U37&amp;" · 25 si ≤ "&amp;V37&amp;" · sinon 0")</f>
        <v>100 si ≥ 35 · 75 si ≥ 25 · 50 si ≥ 15 · 25 si ≥ 8 · sinon 0</v>
      </c>
      <c r="S37" s="26" t="n">
        <f aca="false">INDEX(Grille!$L$8:$W$8,1,($S$5-1)*4+1)</f>
        <v>35</v>
      </c>
      <c r="T37" s="26" t="n">
        <f aca="false">INDEX(Grille!$L$8:$W$8,1,($S$5-1)*4+2)</f>
        <v>25</v>
      </c>
      <c r="U37" s="26" t="n">
        <f aca="false">INDEX(Grille!$L$8:$W$8,1,($S$5-1)*4+3)</f>
        <v>15</v>
      </c>
      <c r="V37" s="26" t="n">
        <f aca="false">INDEX(Grille!$L$8:$W$8,1,($S$5-1)*4+4)</f>
        <v>8</v>
      </c>
      <c r="W37" s="0" t="str">
        <f aca="false">Grille!$K$8</f>
        <v>Croissant</v>
      </c>
      <c r="X37" s="26" t="n">
        <f aca="false">IF(OR(J37="Manquante",K37=""),1,0)</f>
        <v>0</v>
      </c>
      <c r="Y37" s="0" t="n">
        <v>0</v>
      </c>
      <c r="Z37" s="26" t="n">
        <f aca="false">IF(ISNUMBER(L37),L37*N37,0)</f>
        <v>5</v>
      </c>
    </row>
    <row r="38" customFormat="false" ht="30" hidden="false" customHeight="true" outlineLevel="0" collapsed="false">
      <c r="B38" s="17" t="s">
        <v>99</v>
      </c>
      <c r="C38" s="18" t="s">
        <v>86</v>
      </c>
      <c r="D38" s="19" t="s">
        <v>100</v>
      </c>
      <c r="E38" s="18" t="s">
        <v>96</v>
      </c>
      <c r="F38" s="18" t="s">
        <v>101</v>
      </c>
      <c r="G38" s="37" t="s">
        <v>98</v>
      </c>
      <c r="H38" s="6" t="s">
        <v>89</v>
      </c>
      <c r="I38" s="6" t="n">
        <v>1.2</v>
      </c>
      <c r="J38" s="21" t="str">
        <f aca="false">IF($S$4=0,H38,INDEX('Cas exemples'!$D$36:$H$36,1,$S$4))</f>
        <v>Disponible</v>
      </c>
      <c r="K38" s="21" t="n">
        <f aca="false">IF($S$4=0,IF(I38="","",I38),IF(INDEX('Cas exemples'!$D$37:$H$37,1,$S$4)="","",INDEX('Cas exemples'!$D$37:$H$37,1,$S$4)))</f>
        <v>1.2</v>
      </c>
      <c r="L38" s="22" t="n">
        <f aca="false">IF(Y38=1,"écarté",IF(X38=1,Paramètres!$C$5,IF(W38="Croissant",IF(K38&gt;=S38,100,IF(K38&gt;=T38,75,IF(K38&gt;=U38,50,IF(K38&gt;=V38,25,0)))),IF(K38&lt;=S38,100,IF(K38&lt;=T38,75,IF(K38&lt;=U38,50,IF(K38&lt;=V38,25,0)))))))</f>
        <v>100</v>
      </c>
      <c r="M38" s="23" t="n">
        <f aca="false">INDEX(Grille!$H$9:$J$9,1,$S$5)</f>
        <v>0.05</v>
      </c>
      <c r="N38" s="23" t="n">
        <f aca="false">IF(Y38=1,0,M38)</f>
        <v>0.05</v>
      </c>
      <c r="O38" s="23" t="n">
        <f aca="false">IF(AND(J38="Disponible",X38=0),N38,0)</f>
        <v>0.05</v>
      </c>
      <c r="P38" s="24" t="n">
        <f aca="false">IF(SUM($N$34:$N$78)=0,0,Z38/SUM($N$34:$N$78))</f>
        <v>5</v>
      </c>
      <c r="Q38" s="25" t="str">
        <f aca="false">IF(W38="Croissant","100 si ≥ "&amp;S38&amp;" · 75 si ≥ "&amp;T38&amp;" · 50 si ≥ "&amp;U38&amp;" · 25 si ≥ "&amp;V38&amp;" · sinon 0","100 si ≤ "&amp;S38&amp;" · 75 si ≤ "&amp;T38&amp;" · 50 si ≤ "&amp;U38&amp;" · 25 si ≤ "&amp;V38&amp;" · sinon 0")</f>
        <v>100 si ≤ 1.5 · 75 si ≤ 2.5 · 50 si ≤ 3.5 · 25 si ≤ 5 · sinon 0</v>
      </c>
      <c r="S38" s="26" t="n">
        <f aca="false">INDEX(Grille!$L$9:$W$9,1,($S$5-1)*4+1)</f>
        <v>1.5</v>
      </c>
      <c r="T38" s="26" t="n">
        <f aca="false">INDEX(Grille!$L$9:$W$9,1,($S$5-1)*4+2)</f>
        <v>2.5</v>
      </c>
      <c r="U38" s="26" t="n">
        <f aca="false">INDEX(Grille!$L$9:$W$9,1,($S$5-1)*4+3)</f>
        <v>3.5</v>
      </c>
      <c r="V38" s="26" t="n">
        <f aca="false">INDEX(Grille!$L$9:$W$9,1,($S$5-1)*4+4)</f>
        <v>5</v>
      </c>
      <c r="W38" s="0" t="str">
        <f aca="false">Grille!$K$9</f>
        <v>Décroissant</v>
      </c>
      <c r="X38" s="26" t="n">
        <f aca="false">IF(OR(J38="Manquante",K38=""),1,0)</f>
        <v>0</v>
      </c>
      <c r="Y38" s="0" t="n">
        <v>0</v>
      </c>
      <c r="Z38" s="26" t="n">
        <f aca="false">IF(ISNUMBER(L38),L38*N38,0)</f>
        <v>5</v>
      </c>
    </row>
    <row r="39" customFormat="false" ht="30" hidden="false" customHeight="true" outlineLevel="0" collapsed="false">
      <c r="B39" s="27" t="s">
        <v>102</v>
      </c>
      <c r="C39" s="28" t="s">
        <v>86</v>
      </c>
      <c r="D39" s="29" t="s">
        <v>103</v>
      </c>
      <c r="E39" s="28" t="s">
        <v>96</v>
      </c>
      <c r="F39" s="28" t="s">
        <v>101</v>
      </c>
      <c r="G39" s="30"/>
      <c r="H39" s="6" t="s">
        <v>89</v>
      </c>
      <c r="I39" s="6" t="n">
        <v>1.6</v>
      </c>
      <c r="J39" s="31" t="str">
        <f aca="false">IF($S$4=0,H39,INDEX('Cas exemples'!$D$38:$H$38,1,$S$4))</f>
        <v>Disponible</v>
      </c>
      <c r="K39" s="31" t="n">
        <f aca="false">IF($S$4=0,IF(I39="","",I39),IF(INDEX('Cas exemples'!$D$39:$H$39,1,$S$4)="","",INDEX('Cas exemples'!$D$39:$H$39,1,$S$4)))</f>
        <v>1.6</v>
      </c>
      <c r="L39" s="32" t="n">
        <f aca="false">IF(Y39=1,"écarté",IF(X39=1,Paramètres!$C$5,IF(W39="Croissant",IF(K39&gt;=S39,100,IF(K39&gt;=T39,75,IF(K39&gt;=U39,50,IF(K39&gt;=V39,25,0)))),IF(K39&lt;=S39,100,IF(K39&lt;=T39,75,IF(K39&lt;=U39,50,IF(K39&lt;=V39,25,0)))))))</f>
        <v>100</v>
      </c>
      <c r="M39" s="33" t="n">
        <f aca="false">INDEX(Grille!$H$10:$J$10,1,$S$5)</f>
        <v>0.04</v>
      </c>
      <c r="N39" s="33" t="n">
        <f aca="false">IF(Y39=1,0,M39)</f>
        <v>0.04</v>
      </c>
      <c r="O39" s="33" t="n">
        <f aca="false">IF(AND(J39="Disponible",X39=0),N39,0)</f>
        <v>0.04</v>
      </c>
      <c r="P39" s="34" t="n">
        <f aca="false">IF(SUM($N$34:$N$78)=0,0,Z39/SUM($N$34:$N$78))</f>
        <v>4</v>
      </c>
      <c r="Q39" s="35" t="str">
        <f aca="false">IF(W39="Croissant","100 si ≥ "&amp;S39&amp;" · 75 si ≥ "&amp;T39&amp;" · 50 si ≥ "&amp;U39&amp;" · 25 si ≥ "&amp;V39&amp;" · sinon 0","100 si ≤ "&amp;S39&amp;" · 75 si ≤ "&amp;T39&amp;" · 50 si ≤ "&amp;U39&amp;" · 25 si ≤ "&amp;V39&amp;" · sinon 0")</f>
        <v>100 si ≥ 1.5 · 75 si ≥ 1.25 · 50 si ≥ 1 · 25 si ≥ 0.8 · sinon 0</v>
      </c>
      <c r="S39" s="26" t="n">
        <f aca="false">INDEX(Grille!$L$10:$W$10,1,($S$5-1)*4+1)</f>
        <v>1.5</v>
      </c>
      <c r="T39" s="26" t="n">
        <f aca="false">INDEX(Grille!$L$10:$W$10,1,($S$5-1)*4+2)</f>
        <v>1.25</v>
      </c>
      <c r="U39" s="26" t="n">
        <f aca="false">INDEX(Grille!$L$10:$W$10,1,($S$5-1)*4+3)</f>
        <v>1</v>
      </c>
      <c r="V39" s="26" t="n">
        <f aca="false">INDEX(Grille!$L$10:$W$10,1,($S$5-1)*4+4)</f>
        <v>0.8</v>
      </c>
      <c r="W39" s="0" t="str">
        <f aca="false">Grille!$K$10</f>
        <v>Croissant</v>
      </c>
      <c r="X39" s="26" t="n">
        <f aca="false">IF(OR(J39="Manquante",K39=""),1,0)</f>
        <v>0</v>
      </c>
      <c r="Y39" s="0" t="n">
        <v>0</v>
      </c>
      <c r="Z39" s="26" t="n">
        <f aca="false">IF(ISNUMBER(L39),L39*N39,0)</f>
        <v>4</v>
      </c>
    </row>
    <row r="40" customFormat="false" ht="30" hidden="false" customHeight="true" outlineLevel="0" collapsed="false">
      <c r="B40" s="17" t="s">
        <v>104</v>
      </c>
      <c r="C40" s="18" t="s">
        <v>86</v>
      </c>
      <c r="D40" s="19" t="s">
        <v>105</v>
      </c>
      <c r="E40" s="18" t="s">
        <v>88</v>
      </c>
      <c r="F40" s="18"/>
      <c r="G40" s="20"/>
      <c r="H40" s="6" t="s">
        <v>89</v>
      </c>
      <c r="I40" s="6" t="n">
        <v>50</v>
      </c>
      <c r="J40" s="21" t="str">
        <f aca="false">IF($S$4=0,H40,INDEX('Cas exemples'!$D$40:$H$40,1,$S$4))</f>
        <v>Disponible</v>
      </c>
      <c r="K40" s="21" t="n">
        <f aca="false">IF($S$4=0,IF(I40="","",I40),IF(INDEX('Cas exemples'!$D$41:$H$41,1,$S$4)="","",INDEX('Cas exemples'!$D$41:$H$41,1,$S$4)))</f>
        <v>50</v>
      </c>
      <c r="L40" s="22" t="n">
        <f aca="false">IF(Y40=1,"écarté",IF(X40=1,Paramètres!$C$5,K40))</f>
        <v>50</v>
      </c>
      <c r="M40" s="23" t="n">
        <f aca="false">INDEX(Grille!$H$11:$J$11,1,$S$5)</f>
        <v>0.03</v>
      </c>
      <c r="N40" s="23" t="n">
        <f aca="false">IF(Y40=1,0,M40)</f>
        <v>0.03</v>
      </c>
      <c r="O40" s="23" t="n">
        <f aca="false">IF(AND(J40="Disponible",X40=0),N40,0)</f>
        <v>0.03</v>
      </c>
      <c r="P40" s="24" t="n">
        <f aca="false">IF(SUM($N$34:$N$78)=0,0,Z40/SUM($N$34:$N$78))</f>
        <v>1.5</v>
      </c>
      <c r="Q40" s="25" t="str">
        <f aca="false">IF(ISNUMBER(L40),IFERROR(INDEX(Grille!$X$11:$AB$11,1,MATCH(L40,{100,75,50,25,0},0)),""),"")</f>
        <v>Entre P50 et P75 ou détérioration de 6 à 15 jours, financée sans dépassement</v>
      </c>
      <c r="X40" s="26" t="n">
        <f aca="false">IF(OR(J40="Manquante",K40=""),1,0)</f>
        <v>0</v>
      </c>
      <c r="Y40" s="0" t="n">
        <v>0</v>
      </c>
      <c r="Z40" s="26" t="n">
        <f aca="false">IF(ISNUMBER(L40),L40*N40,0)</f>
        <v>1.5</v>
      </c>
    </row>
    <row r="41" customFormat="false" ht="30" hidden="false" customHeight="true" outlineLevel="0" collapsed="false">
      <c r="B41" s="27" t="s">
        <v>106</v>
      </c>
      <c r="C41" s="28" t="s">
        <v>86</v>
      </c>
      <c r="D41" s="29" t="s">
        <v>107</v>
      </c>
      <c r="E41" s="28" t="s">
        <v>96</v>
      </c>
      <c r="F41" s="28" t="s">
        <v>97</v>
      </c>
      <c r="G41" s="30"/>
      <c r="H41" s="6" t="s">
        <v>89</v>
      </c>
      <c r="I41" s="6" t="n">
        <v>75</v>
      </c>
      <c r="J41" s="31" t="str">
        <f aca="false">IF($S$4=0,H41,INDEX('Cas exemples'!$D$42:$H$42,1,$S$4))</f>
        <v>Disponible</v>
      </c>
      <c r="K41" s="31" t="n">
        <f aca="false">IF($S$4=0,IF(I41="","",I41),IF(INDEX('Cas exemples'!$D$43:$H$43,1,$S$4)="","",INDEX('Cas exemples'!$D$43:$H$43,1,$S$4)))</f>
        <v>75</v>
      </c>
      <c r="L41" s="32" t="n">
        <f aca="false">IF(Y41=1,"écarté",IF(X41=1,Paramètres!$C$5,IF(W41="Croissant",IF(K41&gt;=S41,100,IF(K41&gt;=T41,75,IF(K41&gt;=U41,50,IF(K41&gt;=V41,25,0)))),IF(K41&lt;=S41,100,IF(K41&lt;=T41,75,IF(K41&lt;=U41,50,IF(K41&lt;=V41,25,0)))))))</f>
        <v>75</v>
      </c>
      <c r="M41" s="33" t="n">
        <f aca="false">INDEX(Grille!$H$12:$J$12,1,$S$5)</f>
        <v>0.03</v>
      </c>
      <c r="N41" s="33" t="n">
        <f aca="false">IF(Y41=1,0,M41)</f>
        <v>0.03</v>
      </c>
      <c r="O41" s="33" t="n">
        <f aca="false">IF(AND(J41="Disponible",X41=0),N41,0)</f>
        <v>0.03</v>
      </c>
      <c r="P41" s="34" t="n">
        <f aca="false">IF(SUM($N$34:$N$78)=0,0,Z41/SUM($N$34:$N$78))</f>
        <v>2.25</v>
      </c>
      <c r="Q41" s="35" t="str">
        <f aca="false">IF(W41="Croissant","100 si ≥ "&amp;S41&amp;" · 75 si ≥ "&amp;T41&amp;" · 50 si ≥ "&amp;U41&amp;" · 25 si ≥ "&amp;V41&amp;" · sinon 0","100 si ≤ "&amp;S41&amp;" · 75 si ≤ "&amp;T41&amp;" · 50 si ≤ "&amp;U41&amp;" · 25 si ≤ "&amp;V41&amp;" · sinon 0")</f>
        <v>100 si ≥ 90 · 75 si ≥ 70 · 50 si ≥ 50 · 25 si ≥ 20 · sinon 0</v>
      </c>
      <c r="S41" s="26" t="n">
        <f aca="false">INDEX(Grille!$L$12:$W$12,1,($S$5-1)*4+1)</f>
        <v>90</v>
      </c>
      <c r="T41" s="26" t="n">
        <f aca="false">INDEX(Grille!$L$12:$W$12,1,($S$5-1)*4+2)</f>
        <v>70</v>
      </c>
      <c r="U41" s="26" t="n">
        <f aca="false">INDEX(Grille!$L$12:$W$12,1,($S$5-1)*4+3)</f>
        <v>50</v>
      </c>
      <c r="V41" s="26" t="n">
        <f aca="false">INDEX(Grille!$L$12:$W$12,1,($S$5-1)*4+4)</f>
        <v>20</v>
      </c>
      <c r="W41" s="0" t="str">
        <f aca="false">Grille!$K$12</f>
        <v>Croissant</v>
      </c>
      <c r="X41" s="26" t="n">
        <f aca="false">IF(OR(J41="Manquante",K41=""),1,0)</f>
        <v>0</v>
      </c>
      <c r="Y41" s="0" t="n">
        <v>0</v>
      </c>
      <c r="Z41" s="26" t="n">
        <f aca="false">IF(ISNUMBER(L41),L41*N41,0)</f>
        <v>2.25</v>
      </c>
    </row>
    <row r="42" customFormat="false" ht="30" hidden="false" customHeight="true" outlineLevel="0" collapsed="false">
      <c r="B42" s="17" t="s">
        <v>108</v>
      </c>
      <c r="C42" s="18" t="s">
        <v>109</v>
      </c>
      <c r="D42" s="19" t="s">
        <v>110</v>
      </c>
      <c r="E42" s="18" t="s">
        <v>96</v>
      </c>
      <c r="F42" s="18" t="s">
        <v>101</v>
      </c>
      <c r="G42" s="20"/>
      <c r="H42" s="6" t="s">
        <v>89</v>
      </c>
      <c r="I42" s="6" t="n">
        <v>6</v>
      </c>
      <c r="J42" s="21" t="str">
        <f aca="false">IF($S$4=0,H42,INDEX('Cas exemples'!$D$44:$H$44,1,$S$4))</f>
        <v>Disponible</v>
      </c>
      <c r="K42" s="21" t="n">
        <f aca="false">IF($S$4=0,IF(I42="","",I42),IF(INDEX('Cas exemples'!$D$45:$H$45,1,$S$4)="","",INDEX('Cas exemples'!$D$45:$H$45,1,$S$4)))</f>
        <v>6</v>
      </c>
      <c r="L42" s="22" t="n">
        <f aca="false">IF(Y42=1,"écarté",IF(X42=1,Paramètres!$C$5,IF(W42="Croissant",IF(K42&gt;=S42,100,IF(K42&gt;=T42,75,IF(K42&gt;=U42,50,IF(K42&gt;=V42,25,0)))),IF(K42&lt;=S42,100,IF(K42&lt;=T42,75,IF(K42&lt;=U42,50,IF(K42&lt;=V42,25,0)))))))</f>
        <v>100</v>
      </c>
      <c r="M42" s="23" t="n">
        <f aca="false">INDEX(Grille!$H$13:$J$13,1,$S$5)</f>
        <v>0.02</v>
      </c>
      <c r="N42" s="23" t="n">
        <f aca="false">IF(Y42=1,0,M42)</f>
        <v>0.02</v>
      </c>
      <c r="O42" s="23" t="n">
        <f aca="false">IF(AND(J42="Disponible",X42=0),N42,0)</f>
        <v>0.02</v>
      </c>
      <c r="P42" s="24" t="n">
        <f aca="false">IF(SUM($N$34:$N$78)=0,0,Z42/SUM($N$34:$N$78))</f>
        <v>2</v>
      </c>
      <c r="Q42" s="25" t="str">
        <f aca="false">IF(W42="Croissant","100 si ≥ "&amp;S42&amp;" · 75 si ≥ "&amp;T42&amp;" · 50 si ≥ "&amp;U42&amp;" · 25 si ≥ "&amp;V42&amp;" · sinon 0","100 si ≤ "&amp;S42&amp;" · 75 si ≤ "&amp;T42&amp;" · 50 si ≤ "&amp;U42&amp;" · 25 si ≤ "&amp;V42&amp;" · sinon 0")</f>
        <v>100 si ≥ 5 · 75 si ≥ 3 · 50 si ≥ 2 · 25 si ≥ 1.2 · sinon 0</v>
      </c>
      <c r="S42" s="26" t="n">
        <f aca="false">INDEX(Grille!$L$13:$W$13,1,($S$5-1)*4+1)</f>
        <v>5</v>
      </c>
      <c r="T42" s="26" t="n">
        <f aca="false">INDEX(Grille!$L$13:$W$13,1,($S$5-1)*4+2)</f>
        <v>3</v>
      </c>
      <c r="U42" s="26" t="n">
        <f aca="false">INDEX(Grille!$L$13:$W$13,1,($S$5-1)*4+3)</f>
        <v>2</v>
      </c>
      <c r="V42" s="26" t="n">
        <f aca="false">INDEX(Grille!$L$13:$W$13,1,($S$5-1)*4+4)</f>
        <v>1.2</v>
      </c>
      <c r="W42" s="0" t="str">
        <f aca="false">Grille!$K$13</f>
        <v>Croissant</v>
      </c>
      <c r="X42" s="26" t="n">
        <f aca="false">IF(OR(J42="Manquante",K42=""),1,0)</f>
        <v>0</v>
      </c>
      <c r="Y42" s="0" t="n">
        <v>0</v>
      </c>
      <c r="Z42" s="26" t="n">
        <f aca="false">IF(ISNUMBER(L42),L42*N42,0)</f>
        <v>2</v>
      </c>
    </row>
    <row r="43" customFormat="false" ht="30" hidden="false" customHeight="true" outlineLevel="0" collapsed="false">
      <c r="B43" s="27" t="s">
        <v>111</v>
      </c>
      <c r="C43" s="28" t="s">
        <v>109</v>
      </c>
      <c r="D43" s="29" t="s">
        <v>112</v>
      </c>
      <c r="E43" s="28" t="s">
        <v>96</v>
      </c>
      <c r="F43" s="28" t="s">
        <v>101</v>
      </c>
      <c r="G43" s="30"/>
      <c r="H43" s="6" t="s">
        <v>89</v>
      </c>
      <c r="I43" s="6" t="n">
        <v>1.7</v>
      </c>
      <c r="J43" s="31" t="str">
        <f aca="false">IF($S$4=0,H43,INDEX('Cas exemples'!$D$46:$H$46,1,$S$4))</f>
        <v>Disponible</v>
      </c>
      <c r="K43" s="31" t="n">
        <f aca="false">IF($S$4=0,IF(I43="","",I43),IF(INDEX('Cas exemples'!$D$47:$H$47,1,$S$4)="","",INDEX('Cas exemples'!$D$47:$H$47,1,$S$4)))</f>
        <v>1.7</v>
      </c>
      <c r="L43" s="32" t="n">
        <f aca="false">IF(Y43=1,"écarté",IF(X43=1,Paramètres!$C$5,IF(W43="Croissant",IF(K43&gt;=S43,100,IF(K43&gt;=T43,75,IF(K43&gt;=U43,50,IF(K43&gt;=V43,25,0)))),IF(K43&lt;=S43,100,IF(K43&lt;=T43,75,IF(K43&lt;=U43,50,IF(K43&lt;=V43,25,0)))))))</f>
        <v>100</v>
      </c>
      <c r="M43" s="33" t="n">
        <f aca="false">INDEX(Grille!$H$14:$J$14,1,$S$5)</f>
        <v>0.04</v>
      </c>
      <c r="N43" s="33" t="n">
        <f aca="false">IF(Y43=1,0,M43)</f>
        <v>0.04</v>
      </c>
      <c r="O43" s="33" t="n">
        <f aca="false">IF(AND(J43="Disponible",X43=0),N43,0)</f>
        <v>0.04</v>
      </c>
      <c r="P43" s="34" t="n">
        <f aca="false">IF(SUM($N$34:$N$78)=0,0,Z43/SUM($N$34:$N$78))</f>
        <v>4</v>
      </c>
      <c r="Q43" s="35" t="str">
        <f aca="false">IF(W43="Croissant","100 si ≥ "&amp;S43&amp;" · 75 si ≥ "&amp;T43&amp;" · 50 si ≥ "&amp;U43&amp;" · 25 si ≥ "&amp;V43&amp;" · sinon 0","100 si ≤ "&amp;S43&amp;" · 75 si ≤ "&amp;T43&amp;" · 50 si ≤ "&amp;U43&amp;" · 25 si ≤ "&amp;V43&amp;" · sinon 0")</f>
        <v>100 si ≥ 1.6 · 75 si ≥ 1.35 · 50 si ≥ 1.2 · 25 si ≥ 1 · sinon 0</v>
      </c>
      <c r="S43" s="26" t="n">
        <f aca="false">INDEX(Grille!$L$14:$W$14,1,($S$5-1)*4+1)</f>
        <v>1.6</v>
      </c>
      <c r="T43" s="26" t="n">
        <f aca="false">INDEX(Grille!$L$14:$W$14,1,($S$5-1)*4+2)</f>
        <v>1.35</v>
      </c>
      <c r="U43" s="26" t="n">
        <f aca="false">INDEX(Grille!$L$14:$W$14,1,($S$5-1)*4+3)</f>
        <v>1.2</v>
      </c>
      <c r="V43" s="26" t="n">
        <f aca="false">INDEX(Grille!$L$14:$W$14,1,($S$5-1)*4+4)</f>
        <v>1</v>
      </c>
      <c r="W43" s="0" t="str">
        <f aca="false">Grille!$K$14</f>
        <v>Croissant</v>
      </c>
      <c r="X43" s="26" t="n">
        <f aca="false">IF(OR(J43="Manquante",K43=""),1,0)</f>
        <v>0</v>
      </c>
      <c r="Y43" s="0" t="n">
        <v>0</v>
      </c>
      <c r="Z43" s="26" t="n">
        <f aca="false">IF(ISNUMBER(L43),L43*N43,0)</f>
        <v>4</v>
      </c>
    </row>
    <row r="44" customFormat="false" ht="30" hidden="false" customHeight="true" outlineLevel="0" collapsed="false">
      <c r="B44" s="17" t="s">
        <v>113</v>
      </c>
      <c r="C44" s="18" t="s">
        <v>109</v>
      </c>
      <c r="D44" s="19" t="s">
        <v>114</v>
      </c>
      <c r="E44" s="18" t="s">
        <v>96</v>
      </c>
      <c r="F44" s="18" t="s">
        <v>97</v>
      </c>
      <c r="G44" s="20"/>
      <c r="H44" s="6" t="s">
        <v>89</v>
      </c>
      <c r="I44" s="6" t="n">
        <v>22</v>
      </c>
      <c r="J44" s="21" t="str">
        <f aca="false">IF($S$4=0,H44,INDEX('Cas exemples'!$D$48:$H$48,1,$S$4))</f>
        <v>Disponible</v>
      </c>
      <c r="K44" s="21" t="n">
        <f aca="false">IF($S$4=0,IF(I44="","",I44),IF(INDEX('Cas exemples'!$D$49:$H$49,1,$S$4)="","",INDEX('Cas exemples'!$D$49:$H$49,1,$S$4)))</f>
        <v>22</v>
      </c>
      <c r="L44" s="22" t="n">
        <f aca="false">IF(Y44=1,"écarté",IF(X44=1,Paramètres!$C$5,IF(W44="Croissant",IF(K44&gt;=S44,100,IF(K44&gt;=T44,75,IF(K44&gt;=U44,50,IF(K44&gt;=V44,25,0)))),IF(K44&lt;=S44,100,IF(K44&lt;=T44,75,IF(K44&lt;=U44,50,IF(K44&lt;=V44,25,0)))))))</f>
        <v>100</v>
      </c>
      <c r="M44" s="23" t="n">
        <f aca="false">INDEX(Grille!$H$15:$J$15,1,$S$5)</f>
        <v>0.02</v>
      </c>
      <c r="N44" s="23" t="n">
        <f aca="false">IF(Y44=1,0,M44)</f>
        <v>0.02</v>
      </c>
      <c r="O44" s="23" t="n">
        <f aca="false">IF(AND(J44="Disponible",X44=0),N44,0)</f>
        <v>0.02</v>
      </c>
      <c r="P44" s="24" t="n">
        <f aca="false">IF(SUM($N$34:$N$78)=0,0,Z44/SUM($N$34:$N$78))</f>
        <v>2</v>
      </c>
      <c r="Q44" s="25" t="str">
        <f aca="false">IF(W44="Croissant","100 si ≥ "&amp;S44&amp;" · 75 si ≥ "&amp;T44&amp;" · 50 si ≥ "&amp;U44&amp;" · 25 si ≥ "&amp;V44&amp;" · sinon 0","100 si ≤ "&amp;S44&amp;" · 75 si ≤ "&amp;T44&amp;" · 50 si ≤ "&amp;U44&amp;" · 25 si ≤ "&amp;V44&amp;" · sinon 0")</f>
        <v>100 si ≥ 20 · 75 si ≥ 12 · 50 si ≥ 5 · 25 si ≥ 0 · sinon 0</v>
      </c>
      <c r="S44" s="26" t="n">
        <f aca="false">INDEX(Grille!$L$15:$W$15,1,($S$5-1)*4+1)</f>
        <v>20</v>
      </c>
      <c r="T44" s="26" t="n">
        <f aca="false">INDEX(Grille!$L$15:$W$15,1,($S$5-1)*4+2)</f>
        <v>12</v>
      </c>
      <c r="U44" s="26" t="n">
        <f aca="false">INDEX(Grille!$L$15:$W$15,1,($S$5-1)*4+3)</f>
        <v>5</v>
      </c>
      <c r="V44" s="26" t="n">
        <f aca="false">INDEX(Grille!$L$15:$W$15,1,($S$5-1)*4+4)</f>
        <v>0</v>
      </c>
      <c r="W44" s="0" t="str">
        <f aca="false">Grille!$K$15</f>
        <v>Croissant</v>
      </c>
      <c r="X44" s="26" t="n">
        <f aca="false">IF(OR(J44="Manquante",K44=""),1,0)</f>
        <v>0</v>
      </c>
      <c r="Y44" s="0" t="n">
        <v>0</v>
      </c>
      <c r="Z44" s="26" t="n">
        <f aca="false">IF(ISNUMBER(L44),L44*N44,0)</f>
        <v>2</v>
      </c>
    </row>
    <row r="45" customFormat="false" ht="30" hidden="false" customHeight="true" outlineLevel="0" collapsed="false">
      <c r="B45" s="27" t="s">
        <v>115</v>
      </c>
      <c r="C45" s="28" t="s">
        <v>109</v>
      </c>
      <c r="D45" s="29" t="s">
        <v>116</v>
      </c>
      <c r="E45" s="28" t="s">
        <v>88</v>
      </c>
      <c r="F45" s="28"/>
      <c r="G45" s="30"/>
      <c r="H45" s="6" t="s">
        <v>89</v>
      </c>
      <c r="I45" s="6" t="n">
        <v>50</v>
      </c>
      <c r="J45" s="31" t="str">
        <f aca="false">IF($S$4=0,H45,INDEX('Cas exemples'!$D$50:$H$50,1,$S$4))</f>
        <v>Disponible</v>
      </c>
      <c r="K45" s="31" t="n">
        <f aca="false">IF($S$4=0,IF(I45="","",I45),IF(INDEX('Cas exemples'!$D$51:$H$51,1,$S$4)="","",INDEX('Cas exemples'!$D$51:$H$51,1,$S$4)))</f>
        <v>50</v>
      </c>
      <c r="L45" s="32" t="n">
        <f aca="false">IF(Y45=1,"écarté",IF(X45=1,Paramètres!$C$5,K45))</f>
        <v>50</v>
      </c>
      <c r="M45" s="33" t="n">
        <f aca="false">INDEX(Grille!$H$16:$J$16,1,$S$5)</f>
        <v>0.02</v>
      </c>
      <c r="N45" s="33" t="n">
        <f aca="false">IF(Y45=1,0,M45)</f>
        <v>0.02</v>
      </c>
      <c r="O45" s="33" t="n">
        <f aca="false">IF(AND(J45="Disponible",X45=0),N45,0)</f>
        <v>0.02</v>
      </c>
      <c r="P45" s="34" t="n">
        <f aca="false">IF(SUM($N$34:$N$78)=0,0,Z45/SUM($N$34:$N$78))</f>
        <v>1</v>
      </c>
      <c r="Q45" s="35" t="str">
        <f aca="false">IF(ISNUMBER(L45),IFERROR(INDEX(Grille!$X$16:$AB$16,1,MATCH(L45,{100,75,50,25,0},0)),""),"")</f>
        <v>Couverture 6–9 mois, headroom 10–20 %, dépendance modérée au renouvellement</v>
      </c>
      <c r="X45" s="26" t="n">
        <f aca="false">IF(OR(J45="Manquante",K45=""),1,0)</f>
        <v>0</v>
      </c>
      <c r="Y45" s="0" t="n">
        <v>0</v>
      </c>
      <c r="Z45" s="26" t="n">
        <f aca="false">IF(ISNUMBER(L45),L45*N45,0)</f>
        <v>1</v>
      </c>
    </row>
    <row r="46" customFormat="false" ht="30" hidden="false" customHeight="true" outlineLevel="0" collapsed="false">
      <c r="B46" s="17" t="s">
        <v>117</v>
      </c>
      <c r="C46" s="18" t="s">
        <v>109</v>
      </c>
      <c r="D46" s="19" t="s">
        <v>118</v>
      </c>
      <c r="E46" s="18" t="s">
        <v>96</v>
      </c>
      <c r="F46" s="18" t="s">
        <v>101</v>
      </c>
      <c r="G46" s="20"/>
      <c r="H46" s="6" t="s">
        <v>89</v>
      </c>
      <c r="I46" s="6" t="n">
        <v>1.45</v>
      </c>
      <c r="J46" s="21" t="str">
        <f aca="false">IF($S$4=0,H46,INDEX('Cas exemples'!$D$52:$H$52,1,$S$4))</f>
        <v>Disponible</v>
      </c>
      <c r="K46" s="21" t="n">
        <f aca="false">IF($S$4=0,IF(I46="","",I46),IF(INDEX('Cas exemples'!$D$53:$H$53,1,$S$4)="","",INDEX('Cas exemples'!$D$53:$H$53,1,$S$4)))</f>
        <v>1.45</v>
      </c>
      <c r="L46" s="22" t="n">
        <f aca="false">IF(Y46=1,"écarté",IF(X46=1,Paramètres!$C$5,IF(W46="Croissant",IF(K46&gt;=S46,100,IF(K46&gt;=T46,75,IF(K46&gt;=U46,50,IF(K46&gt;=V46,25,0)))),IF(K46&lt;=S46,100,IF(K46&lt;=T46,75,IF(K46&lt;=U46,50,IF(K46&lt;=V46,25,0)))))))</f>
        <v>100</v>
      </c>
      <c r="M46" s="23" t="n">
        <f aca="false">INDEX(Grille!$H$17:$J$17,1,$S$5)</f>
        <v>0.03</v>
      </c>
      <c r="N46" s="23" t="n">
        <f aca="false">IF(Y46=1,0,M46)</f>
        <v>0.03</v>
      </c>
      <c r="O46" s="23" t="n">
        <f aca="false">IF(AND(J46="Disponible",X46=0),N46,0)</f>
        <v>0.03</v>
      </c>
      <c r="P46" s="24" t="n">
        <f aca="false">IF(SUM($N$34:$N$78)=0,0,Z46/SUM($N$34:$N$78))</f>
        <v>3</v>
      </c>
      <c r="Q46" s="25" t="str">
        <f aca="false">IF(W46="Croissant","100 si ≥ "&amp;S46&amp;" · 75 si ≥ "&amp;T46&amp;" · 50 si ≥ "&amp;U46&amp;" · 25 si ≥ "&amp;V46&amp;" · sinon 0","100 si ≤ "&amp;S46&amp;" · 75 si ≤ "&amp;T46&amp;" · 50 si ≤ "&amp;U46&amp;" · 25 si ≤ "&amp;V46&amp;" · sinon 0")</f>
        <v>100 si ≥ 1.4 · 75 si ≥ 1.2 · 50 si ≥ 1 · 25 si ≥ 0.8 · sinon 0</v>
      </c>
      <c r="S46" s="26" t="n">
        <f aca="false">INDEX(Grille!$L$17:$W$17,1,($S$5-1)*4+1)</f>
        <v>1.4</v>
      </c>
      <c r="T46" s="26" t="n">
        <f aca="false">INDEX(Grille!$L$17:$W$17,1,($S$5-1)*4+2)</f>
        <v>1.2</v>
      </c>
      <c r="U46" s="26" t="n">
        <f aca="false">INDEX(Grille!$L$17:$W$17,1,($S$5-1)*4+3)</f>
        <v>1</v>
      </c>
      <c r="V46" s="26" t="n">
        <f aca="false">INDEX(Grille!$L$17:$W$17,1,($S$5-1)*4+4)</f>
        <v>0.8</v>
      </c>
      <c r="W46" s="0" t="str">
        <f aca="false">Grille!$K$17</f>
        <v>Croissant</v>
      </c>
      <c r="X46" s="26" t="n">
        <f aca="false">IF(OR(J46="Manquante",K46=""),1,0)</f>
        <v>0</v>
      </c>
      <c r="Y46" s="0" t="n">
        <v>0</v>
      </c>
      <c r="Z46" s="26" t="n">
        <f aca="false">IF(ISNUMBER(L46),L46*N46,0)</f>
        <v>3</v>
      </c>
    </row>
    <row r="47" customFormat="false" ht="30" hidden="false" customHeight="true" outlineLevel="0" collapsed="false">
      <c r="B47" s="27" t="s">
        <v>119</v>
      </c>
      <c r="C47" s="28" t="s">
        <v>109</v>
      </c>
      <c r="D47" s="29" t="s">
        <v>120</v>
      </c>
      <c r="E47" s="28" t="s">
        <v>88</v>
      </c>
      <c r="F47" s="28"/>
      <c r="G47" s="30"/>
      <c r="H47" s="6" t="s">
        <v>89</v>
      </c>
      <c r="I47" s="6" t="n">
        <v>75</v>
      </c>
      <c r="J47" s="31" t="str">
        <f aca="false">IF($S$4=0,H47,INDEX('Cas exemples'!$D$54:$H$54,1,$S$4))</f>
        <v>Disponible</v>
      </c>
      <c r="K47" s="31" t="n">
        <f aca="false">IF($S$4=0,IF(I47="","",I47),IF(INDEX('Cas exemples'!$D$55:$H$55,1,$S$4)="","",INDEX('Cas exemples'!$D$55:$H$55,1,$S$4)))</f>
        <v>75</v>
      </c>
      <c r="L47" s="32" t="n">
        <f aca="false">IF(Y47=1,"écarté",IF(X47=1,Paramètres!$C$5,K47))</f>
        <v>75</v>
      </c>
      <c r="M47" s="33" t="n">
        <f aca="false">INDEX(Grille!$H$18:$J$18,1,$S$5)</f>
        <v>0.02</v>
      </c>
      <c r="N47" s="33" t="n">
        <f aca="false">IF(Y47=1,0,M47)</f>
        <v>0.02</v>
      </c>
      <c r="O47" s="33" t="n">
        <f aca="false">IF(AND(J47="Disponible",X47=0),N47,0)</f>
        <v>0.02</v>
      </c>
      <c r="P47" s="34" t="n">
        <f aca="false">IF(SUM($N$34:$N$78)=0,0,Z47/SUM($N$34:$N$78))</f>
        <v>1.5</v>
      </c>
      <c r="Q47" s="35" t="str">
        <f aca="false">IF(ISNUMBER(L47),IFERROR(INDEX(Grille!$X$18:$AB$18,1,MATCH(L47,{100,75,50,25,0},0)),""),"")</f>
        <v>Marge entre 20 % et 30 % ; aucune tendance de rupture</v>
      </c>
      <c r="X47" s="26" t="n">
        <f aca="false">IF(OR(J47="Manquante",K47=""),1,0)</f>
        <v>0</v>
      </c>
      <c r="Y47" s="0" t="n">
        <v>0</v>
      </c>
      <c r="Z47" s="26" t="n">
        <f aca="false">IF(ISNUMBER(L47),L47*N47,0)</f>
        <v>1.5</v>
      </c>
    </row>
    <row r="48" customFormat="false" ht="30" hidden="false" customHeight="true" outlineLevel="0" collapsed="false">
      <c r="B48" s="17" t="s">
        <v>121</v>
      </c>
      <c r="C48" s="18" t="s">
        <v>122</v>
      </c>
      <c r="D48" s="19" t="s">
        <v>123</v>
      </c>
      <c r="E48" s="18" t="s">
        <v>96</v>
      </c>
      <c r="F48" s="18" t="s">
        <v>124</v>
      </c>
      <c r="G48" s="37" t="s">
        <v>98</v>
      </c>
      <c r="H48" s="6" t="s">
        <v>89</v>
      </c>
      <c r="I48" s="6" t="n">
        <v>0</v>
      </c>
      <c r="J48" s="21" t="str">
        <f aca="false">IF($S$4=0,H48,INDEX('Cas exemples'!$D$56:$H$56,1,$S$4))</f>
        <v>Disponible</v>
      </c>
      <c r="K48" s="21" t="n">
        <f aca="false">IF($S$4=0,IF(I48="","",I48),IF(INDEX('Cas exemples'!$D$57:$H$57,1,$S$4)="","",INDEX('Cas exemples'!$D$57:$H$57,1,$S$4)))</f>
        <v>0</v>
      </c>
      <c r="L48" s="22" t="n">
        <f aca="false">IF(Y48=1,"écarté",IF(X48=1,Paramètres!$C$5,IF(W48="Croissant",IF(K48&gt;=S48,100,IF(K48&gt;=T48,75,IF(K48&gt;=U48,50,IF(K48&gt;=V48,25,0)))),IF(K48&lt;=S48,100,IF(K48&lt;=T48,75,IF(K48&lt;=U48,50,IF(K48&lt;=V48,25,0)))))))</f>
        <v>100</v>
      </c>
      <c r="M48" s="23" t="n">
        <f aca="false">INDEX(Grille!$H$19:$J$19,1,$S$5)</f>
        <v>0.05</v>
      </c>
      <c r="N48" s="23" t="n">
        <f aca="false">IF(Y48=1,0,M48)</f>
        <v>0.05</v>
      </c>
      <c r="O48" s="23" t="n">
        <f aca="false">IF(AND(J48="Disponible",X48=0),N48,0)</f>
        <v>0.05</v>
      </c>
      <c r="P48" s="24" t="n">
        <f aca="false">IF(SUM($N$34:$N$78)=0,0,Z48/SUM($N$34:$N$78))</f>
        <v>5</v>
      </c>
      <c r="Q48" s="25" t="str">
        <f aca="false">IF(W48="Croissant","100 si ≥ "&amp;S48&amp;" · 75 si ≥ "&amp;T48&amp;" · 50 si ≥ "&amp;U48&amp;" · 25 si ≥ "&amp;V48&amp;" · sinon 0","100 si ≤ "&amp;S48&amp;" · 75 si ≤ "&amp;T48&amp;" · 50 si ≤ "&amp;U48&amp;" · 25 si ≤ "&amp;V48&amp;" · sinon 0")</f>
        <v>100 si ≤ 0 · 75 si ≤ 7 · 50 si ≤ 30 · 25 si ≤ 60 · sinon 0</v>
      </c>
      <c r="S48" s="26" t="n">
        <f aca="false">INDEX(Grille!$L$19:$W$19,1,($S$5-1)*4+1)</f>
        <v>0</v>
      </c>
      <c r="T48" s="26" t="n">
        <f aca="false">INDEX(Grille!$L$19:$W$19,1,($S$5-1)*4+2)</f>
        <v>7</v>
      </c>
      <c r="U48" s="26" t="n">
        <f aca="false">INDEX(Grille!$L$19:$W$19,1,($S$5-1)*4+3)</f>
        <v>30</v>
      </c>
      <c r="V48" s="26" t="n">
        <f aca="false">INDEX(Grille!$L$19:$W$19,1,($S$5-1)*4+4)</f>
        <v>60</v>
      </c>
      <c r="W48" s="0" t="str">
        <f aca="false">Grille!$K$19</f>
        <v>Décroissant</v>
      </c>
      <c r="X48" s="26" t="n">
        <f aca="false">IF(OR(J48="Manquante",K48=""),1,0)</f>
        <v>0</v>
      </c>
      <c r="Y48" s="0" t="n">
        <v>0</v>
      </c>
      <c r="Z48" s="26" t="n">
        <f aca="false">IF(ISNUMBER(L48),L48*N48,0)</f>
        <v>5</v>
      </c>
    </row>
    <row r="49" customFormat="false" ht="30" hidden="false" customHeight="true" outlineLevel="0" collapsed="false">
      <c r="B49" s="27" t="s">
        <v>125</v>
      </c>
      <c r="C49" s="28" t="s">
        <v>122</v>
      </c>
      <c r="D49" s="29" t="s">
        <v>126</v>
      </c>
      <c r="E49" s="28" t="s">
        <v>88</v>
      </c>
      <c r="F49" s="28"/>
      <c r="G49" s="30"/>
      <c r="H49" s="6" t="s">
        <v>89</v>
      </c>
      <c r="I49" s="6" t="n">
        <v>100</v>
      </c>
      <c r="J49" s="31" t="str">
        <f aca="false">IF($S$4=0,H49,INDEX('Cas exemples'!$D$58:$H$58,1,$S$4))</f>
        <v>Disponible</v>
      </c>
      <c r="K49" s="31" t="n">
        <f aca="false">IF($S$4=0,IF(I49="","",I49),IF(INDEX('Cas exemples'!$D$59:$H$59,1,$S$4)="","",INDEX('Cas exemples'!$D$59:$H$59,1,$S$4)))</f>
        <v>100</v>
      </c>
      <c r="L49" s="32" t="n">
        <f aca="false">IF(Y49=1,"écarté",IF(X49=1,Paramètres!$C$5,K49))</f>
        <v>100</v>
      </c>
      <c r="M49" s="33" t="n">
        <f aca="false">INDEX(Grille!$H$20:$J$20,1,$S$5)</f>
        <v>0.03</v>
      </c>
      <c r="N49" s="33" t="n">
        <f aca="false">IF(Y49=1,0,M49)</f>
        <v>0.03</v>
      </c>
      <c r="O49" s="33" t="n">
        <f aca="false">IF(AND(J49="Disponible",X49=0),N49,0)</f>
        <v>0.03</v>
      </c>
      <c r="P49" s="34" t="n">
        <f aca="false">IF(SUM($N$34:$N$78)=0,0,Z49/SUM($N$34:$N$78))</f>
        <v>3</v>
      </c>
      <c r="Q49" s="35" t="str">
        <f aca="false">IF(ISNUMBER(L49),IFERROR(INDEX(Grille!$X$20:$AB$20,1,MATCH(L49,{100,75,50,25,0},0)),""),"")</f>
        <v>Aucun dépassement non autorisé</v>
      </c>
      <c r="X49" s="26" t="n">
        <f aca="false">IF(OR(J49="Manquante",K49=""),1,0)</f>
        <v>0</v>
      </c>
      <c r="Y49" s="0" t="n">
        <v>0</v>
      </c>
      <c r="Z49" s="26" t="n">
        <f aca="false">IF(ISNUMBER(L49),L49*N49,0)</f>
        <v>3</v>
      </c>
    </row>
    <row r="50" customFormat="false" ht="30" hidden="false" customHeight="true" outlineLevel="0" collapsed="false">
      <c r="B50" s="17" t="s">
        <v>127</v>
      </c>
      <c r="C50" s="18" t="s">
        <v>122</v>
      </c>
      <c r="D50" s="19" t="s">
        <v>128</v>
      </c>
      <c r="E50" s="18" t="s">
        <v>88</v>
      </c>
      <c r="F50" s="18"/>
      <c r="G50" s="20"/>
      <c r="H50" s="6" t="s">
        <v>89</v>
      </c>
      <c r="I50" s="6" t="n">
        <v>100</v>
      </c>
      <c r="J50" s="21" t="str">
        <f aca="false">IF($S$4=0,H50,INDEX('Cas exemples'!$D$60:$H$60,1,$S$4))</f>
        <v>Disponible</v>
      </c>
      <c r="K50" s="21" t="n">
        <f aca="false">IF($S$4=0,IF(I50="","",I50),IF(INDEX('Cas exemples'!$D$61:$H$61,1,$S$4)="","",INDEX('Cas exemples'!$D$61:$H$61,1,$S$4)))</f>
        <v>100</v>
      </c>
      <c r="L50" s="22" t="n">
        <f aca="false">IF(Y50=1,"écarté",IF(X50=1,Paramètres!$C$5,K50))</f>
        <v>100</v>
      </c>
      <c r="M50" s="23" t="n">
        <f aca="false">INDEX(Grille!$H$21:$J$21,1,$S$5)</f>
        <v>0.02</v>
      </c>
      <c r="N50" s="23" t="n">
        <f aca="false">IF(Y50=1,0,M50)</f>
        <v>0.02</v>
      </c>
      <c r="O50" s="23" t="n">
        <f aca="false">IF(AND(J50="Disponible",X50=0),N50,0)</f>
        <v>0.02</v>
      </c>
      <c r="P50" s="24" t="n">
        <f aca="false">IF(SUM($N$34:$N$78)=0,0,Z50/SUM($N$34:$N$78))</f>
        <v>2</v>
      </c>
      <c r="Q50" s="25" t="str">
        <f aca="false">IF(ISNUMBER(L50),IFERROR(INDEX(Grille!$X$21:$AB$21,1,MATCH(L50,{100,75,50,25,0},0)),""),"")</f>
        <v>Utilisation moyenne 20–70 %, pics cohérents avec la saisonnalité, marge disponible</v>
      </c>
      <c r="X50" s="26" t="n">
        <f aca="false">IF(OR(J50="Manquante",K50=""),1,0)</f>
        <v>0</v>
      </c>
      <c r="Y50" s="0" t="n">
        <v>0</v>
      </c>
      <c r="Z50" s="26" t="n">
        <f aca="false">IF(ISNUMBER(L50),L50*N50,0)</f>
        <v>2</v>
      </c>
    </row>
    <row r="51" customFormat="false" ht="30" hidden="false" customHeight="true" outlineLevel="0" collapsed="false">
      <c r="B51" s="27" t="s">
        <v>129</v>
      </c>
      <c r="C51" s="28" t="s">
        <v>122</v>
      </c>
      <c r="D51" s="29" t="s">
        <v>130</v>
      </c>
      <c r="E51" s="28" t="s">
        <v>96</v>
      </c>
      <c r="F51" s="28" t="s">
        <v>97</v>
      </c>
      <c r="G51" s="30"/>
      <c r="H51" s="6" t="s">
        <v>89</v>
      </c>
      <c r="I51" s="6" t="n">
        <v>115</v>
      </c>
      <c r="J51" s="31" t="str">
        <f aca="false">IF($S$4=0,H51,INDEX('Cas exemples'!$D$62:$H$62,1,$S$4))</f>
        <v>Disponible</v>
      </c>
      <c r="K51" s="31" t="n">
        <f aca="false">IF($S$4=0,IF(I51="","",I51),IF(INDEX('Cas exemples'!$D$63:$H$63,1,$S$4)="","",INDEX('Cas exemples'!$D$63:$H$63,1,$S$4)))</f>
        <v>115</v>
      </c>
      <c r="L51" s="32" t="n">
        <f aca="false">IF(Y51=1,"écarté",IF(X51=1,Paramètres!$C$5,IF(W51="Croissant",IF(K51&gt;=S51,100,IF(K51&gt;=T51,75,IF(K51&gt;=U51,50,IF(K51&gt;=V51,25,0)))),IF(K51&lt;=S51,100,IF(K51&lt;=T51,75,IF(K51&lt;=U51,50,IF(K51&lt;=V51,25,0)))))))</f>
        <v>100</v>
      </c>
      <c r="M51" s="33" t="n">
        <f aca="false">INDEX(Grille!$H$22:$J$22,1,$S$5)</f>
        <v>0.03</v>
      </c>
      <c r="N51" s="33" t="n">
        <f aca="false">IF(Y51=1,0,M51)</f>
        <v>0.03</v>
      </c>
      <c r="O51" s="33" t="n">
        <f aca="false">IF(AND(J51="Disponible",X51=0),N51,0)</f>
        <v>0.03</v>
      </c>
      <c r="P51" s="34" t="n">
        <f aca="false">IF(SUM($N$34:$N$78)=0,0,Z51/SUM($N$34:$N$78))</f>
        <v>3</v>
      </c>
      <c r="Q51" s="35" t="str">
        <f aca="false">IF(W51="Croissant","100 si ≥ "&amp;S51&amp;" · 75 si ≥ "&amp;T51&amp;" · 50 si ≥ "&amp;U51&amp;" · 25 si ≥ "&amp;V51&amp;" · sinon 0","100 si ≤ "&amp;S51&amp;" · 75 si ≤ "&amp;T51&amp;" · 50 si ≤ "&amp;U51&amp;" · 25 si ≤ "&amp;V51&amp;" · sinon 0")</f>
        <v>100 si ≥ 110 · 75 si ≥ 90 · 50 si ≥ 70 · 25 si ≥ 50 · sinon 0</v>
      </c>
      <c r="S51" s="26" t="n">
        <f aca="false">INDEX(Grille!$L$22:$W$22,1,($S$5-1)*4+1)</f>
        <v>110</v>
      </c>
      <c r="T51" s="26" t="n">
        <f aca="false">INDEX(Grille!$L$22:$W$22,1,($S$5-1)*4+2)</f>
        <v>90</v>
      </c>
      <c r="U51" s="26" t="n">
        <f aca="false">INDEX(Grille!$L$22:$W$22,1,($S$5-1)*4+3)</f>
        <v>70</v>
      </c>
      <c r="V51" s="26" t="n">
        <f aca="false">INDEX(Grille!$L$22:$W$22,1,($S$5-1)*4+4)</f>
        <v>50</v>
      </c>
      <c r="W51" s="0" t="str">
        <f aca="false">Grille!$K$22</f>
        <v>Croissant</v>
      </c>
      <c r="X51" s="26" t="n">
        <f aca="false">IF(OR(J51="Manquante",K51=""),1,0)</f>
        <v>0</v>
      </c>
      <c r="Y51" s="0" t="n">
        <v>0</v>
      </c>
      <c r="Z51" s="26" t="n">
        <f aca="false">IF(ISNUMBER(L51),L51*N51,0)</f>
        <v>3</v>
      </c>
    </row>
    <row r="52" customFormat="false" ht="30" hidden="false" customHeight="true" outlineLevel="0" collapsed="false">
      <c r="B52" s="17" t="s">
        <v>131</v>
      </c>
      <c r="C52" s="18" t="s">
        <v>122</v>
      </c>
      <c r="D52" s="19" t="s">
        <v>132</v>
      </c>
      <c r="E52" s="18" t="s">
        <v>88</v>
      </c>
      <c r="F52" s="18"/>
      <c r="G52" s="20"/>
      <c r="H52" s="6" t="s">
        <v>89</v>
      </c>
      <c r="I52" s="6" t="n">
        <v>100</v>
      </c>
      <c r="J52" s="21" t="str">
        <f aca="false">IF($S$4=0,H52,INDEX('Cas exemples'!$D$64:$H$64,1,$S$4))</f>
        <v>Disponible</v>
      </c>
      <c r="K52" s="21" t="n">
        <f aca="false">IF($S$4=0,IF(I52="","",I52),IF(INDEX('Cas exemples'!$D$65:$H$65,1,$S$4)="","",INDEX('Cas exemples'!$D$65:$H$65,1,$S$4)))</f>
        <v>100</v>
      </c>
      <c r="L52" s="22" t="n">
        <f aca="false">IF(Y52=1,"écarté",IF(X52=1,Paramètres!$C$5,K52))</f>
        <v>100</v>
      </c>
      <c r="M52" s="23" t="n">
        <f aca="false">INDEX(Grille!$H$23:$J$23,1,$S$5)</f>
        <v>0.03</v>
      </c>
      <c r="N52" s="23" t="n">
        <f aca="false">IF(Y52=1,0,M52)</f>
        <v>0.03</v>
      </c>
      <c r="O52" s="23" t="n">
        <f aca="false">IF(AND(J52="Disponible",X52=0),N52,0)</f>
        <v>0.03</v>
      </c>
      <c r="P52" s="24" t="n">
        <f aca="false">IF(SUM($N$34:$N$78)=0,0,Z52/SUM($N$34:$N$78))</f>
        <v>3</v>
      </c>
      <c r="Q52" s="25" t="str">
        <f aca="false">IF(ISNUMBER(L52),IFERROR(INDEX(Grille!$X$23:$AB$23,1,MATCH(L52,{100,75,50,25,0},0)),""),"")</f>
        <v>Absence d'incident vérifiée auprès des sources autorisées</v>
      </c>
      <c r="X52" s="26" t="n">
        <f aca="false">IF(OR(J52="Manquante",K52=""),1,0)</f>
        <v>0</v>
      </c>
      <c r="Y52" s="0" t="n">
        <v>0</v>
      </c>
      <c r="Z52" s="26" t="n">
        <f aca="false">IF(ISNUMBER(L52),L52*N52,0)</f>
        <v>3</v>
      </c>
    </row>
    <row r="53" customFormat="false" ht="30" hidden="false" customHeight="true" outlineLevel="0" collapsed="false">
      <c r="B53" s="27" t="s">
        <v>133</v>
      </c>
      <c r="C53" s="28" t="s">
        <v>122</v>
      </c>
      <c r="D53" s="29" t="s">
        <v>134</v>
      </c>
      <c r="E53" s="28" t="s">
        <v>88</v>
      </c>
      <c r="F53" s="28"/>
      <c r="G53" s="30"/>
      <c r="H53" s="6" t="s">
        <v>89</v>
      </c>
      <c r="I53" s="6" t="n">
        <v>100</v>
      </c>
      <c r="J53" s="31" t="str">
        <f aca="false">IF($S$4=0,H53,INDEX('Cas exemples'!$D$66:$H$66,1,$S$4))</f>
        <v>Disponible</v>
      </c>
      <c r="K53" s="31" t="n">
        <f aca="false">IF($S$4=0,IF(I53="","",I53),IF(INDEX('Cas exemples'!$D$67:$H$67,1,$S$4)="","",INDEX('Cas exemples'!$D$67:$H$67,1,$S$4)))</f>
        <v>100</v>
      </c>
      <c r="L53" s="32" t="n">
        <f aca="false">IF(Y53=1,"écarté",IF(X53=1,Paramètres!$C$5,K53))</f>
        <v>100</v>
      </c>
      <c r="M53" s="33" t="n">
        <f aca="false">INDEX(Grille!$H$24:$J$24,1,$S$5)</f>
        <v>0.02</v>
      </c>
      <c r="N53" s="33" t="n">
        <f aca="false">IF(Y53=1,0,M53)</f>
        <v>0.02</v>
      </c>
      <c r="O53" s="33" t="n">
        <f aca="false">IF(AND(J53="Disponible",X53=0),N53,0)</f>
        <v>0.02</v>
      </c>
      <c r="P53" s="34" t="n">
        <f aca="false">IF(SUM($N$34:$N$78)=0,0,Z53/SUM($N$34:$N$78))</f>
        <v>2</v>
      </c>
      <c r="Q53" s="35" t="str">
        <f aca="false">IF(ISNUMBER(L53),IFERROR(INDEX(Grille!$X$24:$AB$24,1,MATCH(L53,{100,75,50,25,0},0)),""),"")</f>
        <v>Aucune restructuration ni concession liée à une difficulté financière</v>
      </c>
      <c r="X53" s="26" t="n">
        <f aca="false">IF(OR(J53="Manquante",K53=""),1,0)</f>
        <v>0</v>
      </c>
      <c r="Y53" s="0" t="n">
        <v>0</v>
      </c>
      <c r="Z53" s="26" t="n">
        <f aca="false">IF(ISNUMBER(L53),L53*N53,0)</f>
        <v>2</v>
      </c>
    </row>
    <row r="54" customFormat="false" ht="30" hidden="false" customHeight="true" outlineLevel="0" collapsed="false">
      <c r="B54" s="17" t="s">
        <v>135</v>
      </c>
      <c r="C54" s="18" t="s">
        <v>122</v>
      </c>
      <c r="D54" s="19" t="s">
        <v>136</v>
      </c>
      <c r="E54" s="18" t="s">
        <v>88</v>
      </c>
      <c r="F54" s="18"/>
      <c r="G54" s="20"/>
      <c r="H54" s="6" t="s">
        <v>89</v>
      </c>
      <c r="I54" s="6" t="n">
        <v>75</v>
      </c>
      <c r="J54" s="21" t="str">
        <f aca="false">IF($S$4=0,H54,INDEX('Cas exemples'!$D$68:$H$68,1,$S$4))</f>
        <v>Disponible</v>
      </c>
      <c r="K54" s="21" t="n">
        <f aca="false">IF($S$4=0,IF(I54="","",I54),IF(INDEX('Cas exemples'!$D$69:$H$69,1,$S$4)="","",INDEX('Cas exemples'!$D$69:$H$69,1,$S$4)))</f>
        <v>75</v>
      </c>
      <c r="L54" s="22" t="n">
        <f aca="false">IF(Y54=1,"écarté",IF(X54=1,Paramètres!$C$5,K54))</f>
        <v>75</v>
      </c>
      <c r="M54" s="23" t="n">
        <f aca="false">INDEX(Grille!$H$25:$J$25,1,$S$5)</f>
        <v>0.02</v>
      </c>
      <c r="N54" s="23" t="n">
        <f aca="false">IF(Y54=1,0,M54)</f>
        <v>0.02</v>
      </c>
      <c r="O54" s="23" t="n">
        <f aca="false">IF(AND(J54="Disponible",X54=0),N54,0)</f>
        <v>0.02</v>
      </c>
      <c r="P54" s="24" t="n">
        <f aca="false">IF(SUM($N$34:$N$78)=0,0,Z54/SUM($N$34:$N$78))</f>
        <v>1.5</v>
      </c>
      <c r="Q54" s="25" t="str">
        <f aca="false">IF(ISNUMBER(L54),IFERROR(INDEX(Grille!$X$25:$AB$25,1,MATCH(L54,{100,75,50,25,0},0)),""),"")</f>
        <v>Hausse ≤ 10 % cohérente avec croissance et cash-flow</v>
      </c>
      <c r="X54" s="26" t="n">
        <f aca="false">IF(OR(J54="Manquante",K54=""),1,0)</f>
        <v>0</v>
      </c>
      <c r="Y54" s="0" t="n">
        <v>0</v>
      </c>
      <c r="Z54" s="26" t="n">
        <f aca="false">IF(ISNUMBER(L54),L54*N54,0)</f>
        <v>1.5</v>
      </c>
    </row>
    <row r="55" customFormat="false" ht="30" hidden="false" customHeight="true" outlineLevel="0" collapsed="false">
      <c r="B55" s="27" t="s">
        <v>137</v>
      </c>
      <c r="C55" s="28" t="s">
        <v>138</v>
      </c>
      <c r="D55" s="29" t="s">
        <v>139</v>
      </c>
      <c r="E55" s="28" t="s">
        <v>88</v>
      </c>
      <c r="F55" s="28"/>
      <c r="G55" s="30"/>
      <c r="H55" s="6" t="s">
        <v>89</v>
      </c>
      <c r="I55" s="6" t="n">
        <v>50</v>
      </c>
      <c r="J55" s="31" t="str">
        <f aca="false">IF($S$4=0,H55,INDEX('Cas exemples'!$D$70:$H$70,1,$S$4))</f>
        <v>Disponible</v>
      </c>
      <c r="K55" s="31" t="n">
        <f aca="false">IF($S$4=0,IF(I55="","",I55),IF(INDEX('Cas exemples'!$D$71:$H$71,1,$S$4)="","",INDEX('Cas exemples'!$D$71:$H$71,1,$S$4)))</f>
        <v>50</v>
      </c>
      <c r="L55" s="32" t="n">
        <f aca="false">IF(Y55=1,"écarté",IF(X55=1,Paramètres!$C$5,K55))</f>
        <v>50</v>
      </c>
      <c r="M55" s="33" t="n">
        <f aca="false">INDEX(Grille!$H$26:$J$26,1,$S$5)</f>
        <v>0.03</v>
      </c>
      <c r="N55" s="33" t="n">
        <f aca="false">IF(Y55=1,0,M55)</f>
        <v>0.03</v>
      </c>
      <c r="O55" s="33" t="n">
        <f aca="false">IF(AND(J55="Disponible",X55=0),N55,0)</f>
        <v>0.03</v>
      </c>
      <c r="P55" s="34" t="n">
        <f aca="false">IF(SUM($N$34:$N$78)=0,0,Z55/SUM($N$34:$N$78))</f>
        <v>1.5</v>
      </c>
      <c r="Q55" s="35" t="str">
        <f aca="false">IF(ISNUMBER(L55),IFERROR(INDEX(Grille!$X$26:$AB$26,1,MATCH(L55,{100,75,50,25,0},0)),""),"")</f>
        <v>S3 — secteur moyen/cyclique maîtrisable</v>
      </c>
      <c r="X55" s="26" t="n">
        <f aca="false">IF(OR(J55="Manquante",K55=""),1,0)</f>
        <v>0</v>
      </c>
      <c r="Y55" s="0" t="n">
        <v>0</v>
      </c>
      <c r="Z55" s="26" t="n">
        <f aca="false">IF(ISNUMBER(L55),L55*N55,0)</f>
        <v>1.5</v>
      </c>
    </row>
    <row r="56" customFormat="false" ht="30" hidden="false" customHeight="true" outlineLevel="0" collapsed="false">
      <c r="B56" s="17" t="s">
        <v>140</v>
      </c>
      <c r="C56" s="18" t="s">
        <v>138</v>
      </c>
      <c r="D56" s="19" t="s">
        <v>141</v>
      </c>
      <c r="E56" s="18" t="s">
        <v>88</v>
      </c>
      <c r="F56" s="18"/>
      <c r="G56" s="20"/>
      <c r="H56" s="6" t="s">
        <v>89</v>
      </c>
      <c r="I56" s="6" t="n">
        <v>75</v>
      </c>
      <c r="J56" s="21" t="str">
        <f aca="false">IF($S$4=0,H56,INDEX('Cas exemples'!$D$72:$H$72,1,$S$4))</f>
        <v>Disponible</v>
      </c>
      <c r="K56" s="21" t="n">
        <f aca="false">IF($S$4=0,IF(I56="","",I56),IF(INDEX('Cas exemples'!$D$73:$H$73,1,$S$4)="","",INDEX('Cas exemples'!$D$73:$H$73,1,$S$4)))</f>
        <v>75</v>
      </c>
      <c r="L56" s="22" t="n">
        <f aca="false">IF(Y56=1,"écarté",IF(X56=1,Paramètres!$C$5,K56))</f>
        <v>75</v>
      </c>
      <c r="M56" s="23" t="n">
        <f aca="false">INDEX(Grille!$H$27:$J$27,1,$S$5)</f>
        <v>0.025</v>
      </c>
      <c r="N56" s="23" t="n">
        <f aca="false">IF(Y56=1,0,M56)</f>
        <v>0.025</v>
      </c>
      <c r="O56" s="23" t="n">
        <f aca="false">IF(AND(J56="Disponible",X56=0),N56,0)</f>
        <v>0.025</v>
      </c>
      <c r="P56" s="24" t="n">
        <f aca="false">IF(SUM($N$34:$N$78)=0,0,Z56/SUM($N$34:$N$78))</f>
        <v>1.875</v>
      </c>
      <c r="Q56" s="25" t="str">
        <f aca="false">IF(ISNUMBER(L56),IFERROR(INDEX(Grille!$X$27:$AB$27,1,MATCH(L56,{100,75,50,25,0},0)),""),"")</f>
        <v>Position forte ; différenciation claire ; bonne fidélité ; marges au moins sectorielles</v>
      </c>
      <c r="X56" s="26" t="n">
        <f aca="false">IF(OR(J56="Manquante",K56=""),1,0)</f>
        <v>0</v>
      </c>
      <c r="Y56" s="0" t="n">
        <v>0</v>
      </c>
      <c r="Z56" s="26" t="n">
        <f aca="false">IF(ISNUMBER(L56),L56*N56,0)</f>
        <v>1.875</v>
      </c>
    </row>
    <row r="57" customFormat="false" ht="30" hidden="false" customHeight="true" outlineLevel="0" collapsed="false">
      <c r="B57" s="27" t="s">
        <v>142</v>
      </c>
      <c r="C57" s="28" t="s">
        <v>138</v>
      </c>
      <c r="D57" s="29" t="s">
        <v>143</v>
      </c>
      <c r="E57" s="28" t="s">
        <v>96</v>
      </c>
      <c r="F57" s="28" t="s">
        <v>97</v>
      </c>
      <c r="G57" s="30"/>
      <c r="H57" s="6" t="s">
        <v>89</v>
      </c>
      <c r="I57" s="6" t="n">
        <v>20</v>
      </c>
      <c r="J57" s="31" t="str">
        <f aca="false">IF($S$4=0,H57,INDEX('Cas exemples'!$D$74:$H$74,1,$S$4))</f>
        <v>Disponible</v>
      </c>
      <c r="K57" s="31" t="n">
        <f aca="false">IF($S$4=0,IF(I57="","",I57),IF(INDEX('Cas exemples'!$D$75:$H$75,1,$S$4)="","",INDEX('Cas exemples'!$D$75:$H$75,1,$S$4)))</f>
        <v>20</v>
      </c>
      <c r="L57" s="32" t="n">
        <f aca="false">IF(Y57=1,"écarté",IF(X57=1,Paramètres!$C$5,IF(W57="Croissant",IF(K57&gt;=S57,100,IF(K57&gt;=T57,75,IF(K57&gt;=U57,50,IF(K57&gt;=V57,25,0)))),IF(K57&lt;=S57,100,IF(K57&lt;=T57,75,IF(K57&lt;=U57,50,IF(K57&lt;=V57,25,0)))))))</f>
        <v>75</v>
      </c>
      <c r="M57" s="33" t="n">
        <f aca="false">INDEX(Grille!$H$28:$J$28,1,$S$5)</f>
        <v>0.02</v>
      </c>
      <c r="N57" s="33" t="n">
        <f aca="false">IF(Y57=1,0,M57)</f>
        <v>0.02</v>
      </c>
      <c r="O57" s="33" t="n">
        <f aca="false">IF(AND(J57="Disponible",X57=0),N57,0)</f>
        <v>0.02</v>
      </c>
      <c r="P57" s="34" t="n">
        <f aca="false">IF(SUM($N$34:$N$78)=0,0,Z57/SUM($N$34:$N$78))</f>
        <v>1.5</v>
      </c>
      <c r="Q57" s="35" t="str">
        <f aca="false">IF(W57="Croissant","100 si ≥ "&amp;S57&amp;" · 75 si ≥ "&amp;T57&amp;" · 50 si ≥ "&amp;U57&amp;" · 25 si ≥ "&amp;V57&amp;" · sinon 0","100 si ≤ "&amp;S57&amp;" · 75 si ≤ "&amp;T57&amp;" · 50 si ≤ "&amp;U57&amp;" · 25 si ≤ "&amp;V57&amp;" · sinon 0")</f>
        <v>100 si ≤ 10 · 75 si ≤ 20 · 50 si ≤ 30 · 25 si ≤ 45 · sinon 0</v>
      </c>
      <c r="S57" s="26" t="n">
        <f aca="false">INDEX(Grille!$L$28:$W$28,1,($S$5-1)*4+1)</f>
        <v>10</v>
      </c>
      <c r="T57" s="26" t="n">
        <f aca="false">INDEX(Grille!$L$28:$W$28,1,($S$5-1)*4+2)</f>
        <v>20</v>
      </c>
      <c r="U57" s="26" t="n">
        <f aca="false">INDEX(Grille!$L$28:$W$28,1,($S$5-1)*4+3)</f>
        <v>30</v>
      </c>
      <c r="V57" s="26" t="n">
        <f aca="false">INDEX(Grille!$L$28:$W$28,1,($S$5-1)*4+4)</f>
        <v>45</v>
      </c>
      <c r="W57" s="0" t="str">
        <f aca="false">Grille!$K$28</f>
        <v>Décroissant</v>
      </c>
      <c r="X57" s="26" t="n">
        <f aca="false">IF(OR(J57="Manquante",K57=""),1,0)</f>
        <v>0</v>
      </c>
      <c r="Y57" s="0" t="n">
        <v>0</v>
      </c>
      <c r="Z57" s="26" t="n">
        <f aca="false">IF(ISNUMBER(L57),L57*N57,0)</f>
        <v>1.5</v>
      </c>
    </row>
    <row r="58" customFormat="false" ht="30" hidden="false" customHeight="true" outlineLevel="0" collapsed="false">
      <c r="B58" s="17" t="s">
        <v>144</v>
      </c>
      <c r="C58" s="18" t="s">
        <v>138</v>
      </c>
      <c r="D58" s="19" t="s">
        <v>145</v>
      </c>
      <c r="E58" s="18" t="s">
        <v>96</v>
      </c>
      <c r="F58" s="18" t="s">
        <v>97</v>
      </c>
      <c r="G58" s="20"/>
      <c r="H58" s="6" t="s">
        <v>89</v>
      </c>
      <c r="I58" s="6" t="n">
        <v>20</v>
      </c>
      <c r="J58" s="21" t="str">
        <f aca="false">IF($S$4=0,H58,INDEX('Cas exemples'!$D$76:$H$76,1,$S$4))</f>
        <v>Disponible</v>
      </c>
      <c r="K58" s="21" t="n">
        <f aca="false">IF($S$4=0,IF(I58="","",I58),IF(INDEX('Cas exemples'!$D$77:$H$77,1,$S$4)="","",INDEX('Cas exemples'!$D$77:$H$77,1,$S$4)))</f>
        <v>20</v>
      </c>
      <c r="L58" s="22" t="n">
        <f aca="false">IF(Y58=1,"écarté",IF(X58=1,Paramètres!$C$5,IF(W58="Croissant",IF(K58&gt;=S58,100,IF(K58&gt;=T58,75,IF(K58&gt;=U58,50,IF(K58&gt;=V58,25,0)))),IF(K58&lt;=S58,100,IF(K58&lt;=T58,75,IF(K58&lt;=U58,50,IF(K58&lt;=V58,25,0)))))))</f>
        <v>75</v>
      </c>
      <c r="M58" s="23" t="n">
        <f aca="false">INDEX(Grille!$H$29:$J$29,1,$S$5)</f>
        <v>0.015</v>
      </c>
      <c r="N58" s="23" t="n">
        <f aca="false">IF(Y58=1,0,M58)</f>
        <v>0.015</v>
      </c>
      <c r="O58" s="23" t="n">
        <f aca="false">IF(AND(J58="Disponible",X58=0),N58,0)</f>
        <v>0.015</v>
      </c>
      <c r="P58" s="24" t="n">
        <f aca="false">IF(SUM($N$34:$N$78)=0,0,Z58/SUM($N$34:$N$78))</f>
        <v>1.125</v>
      </c>
      <c r="Q58" s="25" t="str">
        <f aca="false">IF(W58="Croissant","100 si ≥ "&amp;S58&amp;" · 75 si ≥ "&amp;T58&amp;" · 50 si ≥ "&amp;U58&amp;" · 25 si ≥ "&amp;V58&amp;" · sinon 0","100 si ≤ "&amp;S58&amp;" · 75 si ≤ "&amp;T58&amp;" · 50 si ≤ "&amp;U58&amp;" · 25 si ≤ "&amp;V58&amp;" · sinon 0")</f>
        <v>100 si ≤ 15 · 75 si ≤ 25 · 50 si ≤ 40 · 25 si ≤ 60 · sinon 0</v>
      </c>
      <c r="S58" s="26" t="n">
        <f aca="false">INDEX(Grille!$L$29:$W$29,1,($S$5-1)*4+1)</f>
        <v>15</v>
      </c>
      <c r="T58" s="26" t="n">
        <f aca="false">INDEX(Grille!$L$29:$W$29,1,($S$5-1)*4+2)</f>
        <v>25</v>
      </c>
      <c r="U58" s="26" t="n">
        <f aca="false">INDEX(Grille!$L$29:$W$29,1,($S$5-1)*4+3)</f>
        <v>40</v>
      </c>
      <c r="V58" s="26" t="n">
        <f aca="false">INDEX(Grille!$L$29:$W$29,1,($S$5-1)*4+4)</f>
        <v>60</v>
      </c>
      <c r="W58" s="0" t="str">
        <f aca="false">Grille!$K$29</f>
        <v>Décroissant</v>
      </c>
      <c r="X58" s="26" t="n">
        <f aca="false">IF(OR(J58="Manquante",K58=""),1,0)</f>
        <v>0</v>
      </c>
      <c r="Y58" s="0" t="n">
        <v>0</v>
      </c>
      <c r="Z58" s="26" t="n">
        <f aca="false">IF(ISNUMBER(L58),L58*N58,0)</f>
        <v>1.125</v>
      </c>
    </row>
    <row r="59" customFormat="false" ht="30" hidden="false" customHeight="true" outlineLevel="0" collapsed="false">
      <c r="B59" s="27" t="s">
        <v>146</v>
      </c>
      <c r="C59" s="28" t="s">
        <v>138</v>
      </c>
      <c r="D59" s="29" t="s">
        <v>147</v>
      </c>
      <c r="E59" s="28" t="s">
        <v>88</v>
      </c>
      <c r="F59" s="28"/>
      <c r="G59" s="30"/>
      <c r="H59" s="6" t="s">
        <v>89</v>
      </c>
      <c r="I59" s="6" t="n">
        <v>50</v>
      </c>
      <c r="J59" s="31" t="str">
        <f aca="false">IF($S$4=0,H59,INDEX('Cas exemples'!$D$78:$H$78,1,$S$4))</f>
        <v>Disponible</v>
      </c>
      <c r="K59" s="31" t="n">
        <f aca="false">IF($S$4=0,IF(I59="","",I59),IF(INDEX('Cas exemples'!$D$79:$H$79,1,$S$4)="","",INDEX('Cas exemples'!$D$79:$H$79,1,$S$4)))</f>
        <v>50</v>
      </c>
      <c r="L59" s="32" t="n">
        <f aca="false">IF(Y59=1,"écarté",IF(X59=1,Paramètres!$C$5,K59))</f>
        <v>50</v>
      </c>
      <c r="M59" s="33" t="n">
        <f aca="false">INDEX(Grille!$H$30:$J$30,1,$S$5)</f>
        <v>0.02</v>
      </c>
      <c r="N59" s="33" t="n">
        <f aca="false">IF(Y59=1,0,M59)</f>
        <v>0.02</v>
      </c>
      <c r="O59" s="33" t="n">
        <f aca="false">IF(AND(J59="Disponible",X59=0),N59,0)</f>
        <v>0.02</v>
      </c>
      <c r="P59" s="34" t="n">
        <f aca="false">IF(SUM($N$34:$N$78)=0,0,Z59/SUM($N$34:$N$78))</f>
        <v>1</v>
      </c>
      <c r="Q59" s="35" t="str">
        <f aca="false">IF(ISNUMBER(L59),IFERROR(INDEX(Grille!$X$30:$AB$30,1,MATCH(L59,{100,75,50,25,0},0)),""),"")</f>
        <v>6–9 mois ou 40–60 % récurrents ; visibilité moyenne cohérente au secteur</v>
      </c>
      <c r="X59" s="26" t="n">
        <f aca="false">IF(OR(J59="Manquante",K59=""),1,0)</f>
        <v>0</v>
      </c>
      <c r="Y59" s="0" t="n">
        <v>0</v>
      </c>
      <c r="Z59" s="26" t="n">
        <f aca="false">IF(ISNUMBER(L59),L59*N59,0)</f>
        <v>1</v>
      </c>
    </row>
    <row r="60" customFormat="false" ht="30" hidden="false" customHeight="true" outlineLevel="0" collapsed="false">
      <c r="B60" s="17" t="s">
        <v>148</v>
      </c>
      <c r="C60" s="18" t="s">
        <v>138</v>
      </c>
      <c r="D60" s="19" t="s">
        <v>149</v>
      </c>
      <c r="E60" s="18" t="s">
        <v>88</v>
      </c>
      <c r="F60" s="18"/>
      <c r="G60" s="20"/>
      <c r="H60" s="6" t="s">
        <v>89</v>
      </c>
      <c r="I60" s="6" t="n">
        <v>75</v>
      </c>
      <c r="J60" s="21" t="str">
        <f aca="false">IF($S$4=0,H60,INDEX('Cas exemples'!$D$80:$H$80,1,$S$4))</f>
        <v>Disponible</v>
      </c>
      <c r="K60" s="21" t="n">
        <f aca="false">IF($S$4=0,IF(I60="","",I60),IF(INDEX('Cas exemples'!$D$81:$H$81,1,$S$4)="","",INDEX('Cas exemples'!$D$81:$H$81,1,$S$4)))</f>
        <v>75</v>
      </c>
      <c r="L60" s="22" t="n">
        <f aca="false">IF(Y60=1,"écarté",IF(X60=1,Paramètres!$C$5,K60))</f>
        <v>75</v>
      </c>
      <c r="M60" s="23" t="n">
        <f aca="false">INDEX(Grille!$H$31:$J$31,1,$S$5)</f>
        <v>0.015</v>
      </c>
      <c r="N60" s="23" t="n">
        <f aca="false">IF(Y60=1,0,M60)</f>
        <v>0.015</v>
      </c>
      <c r="O60" s="23" t="n">
        <f aca="false">IF(AND(J60="Disponible",X60=0),N60,0)</f>
        <v>0.015</v>
      </c>
      <c r="P60" s="24" t="n">
        <f aca="false">IF(SUM($N$34:$N$78)=0,0,Z60/SUM($N$34:$N$78))</f>
        <v>1.125</v>
      </c>
      <c r="Q60" s="25" t="str">
        <f aca="false">IF(ISNUMBER(L60),IFERROR(INDEX(Grille!$X$31:$AB$31,1,MATCH(L60,{100,75,50,25,0},0)),""),"")</f>
        <v>Exposition 10–25 %, couverture &gt; 75 %, répercussion prix démontrée</v>
      </c>
      <c r="X60" s="26" t="n">
        <f aca="false">IF(OR(J60="Manquante",K60=""),1,0)</f>
        <v>0</v>
      </c>
      <c r="Y60" s="0" t="n">
        <v>0</v>
      </c>
      <c r="Z60" s="26" t="n">
        <f aca="false">IF(ISNUMBER(L60),L60*N60,0)</f>
        <v>1.125</v>
      </c>
    </row>
    <row r="61" customFormat="false" ht="30" hidden="false" customHeight="true" outlineLevel="0" collapsed="false">
      <c r="B61" s="27" t="s">
        <v>150</v>
      </c>
      <c r="C61" s="28" t="s">
        <v>138</v>
      </c>
      <c r="D61" s="29" t="s">
        <v>151</v>
      </c>
      <c r="E61" s="28" t="s">
        <v>88</v>
      </c>
      <c r="F61" s="28"/>
      <c r="G61" s="30"/>
      <c r="H61" s="6" t="s">
        <v>89</v>
      </c>
      <c r="I61" s="6" t="n">
        <v>50</v>
      </c>
      <c r="J61" s="31" t="str">
        <f aca="false">IF($S$4=0,H61,INDEX('Cas exemples'!$D$82:$H$82,1,$S$4))</f>
        <v>Disponible</v>
      </c>
      <c r="K61" s="31" t="n">
        <f aca="false">IF($S$4=0,IF(I61="","",I61),IF(INDEX('Cas exemples'!$D$83:$H$83,1,$S$4)="","",INDEX('Cas exemples'!$D$83:$H$83,1,$S$4)))</f>
        <v>50</v>
      </c>
      <c r="L61" s="32" t="n">
        <f aca="false">IF(Y61=1,"écarté",IF(X61=1,Paramètres!$C$5,K61))</f>
        <v>50</v>
      </c>
      <c r="M61" s="33" t="n">
        <f aca="false">INDEX(Grille!$H$32:$J$32,1,$S$5)</f>
        <v>0.015</v>
      </c>
      <c r="N61" s="33" t="n">
        <f aca="false">IF(Y61=1,0,M61)</f>
        <v>0.015</v>
      </c>
      <c r="O61" s="33" t="n">
        <f aca="false">IF(AND(J61="Disponible",X61=0),N61,0)</f>
        <v>0.015</v>
      </c>
      <c r="P61" s="34" t="n">
        <f aca="false">IF(SUM($N$34:$N$78)=0,0,Z61/SUM($N$34:$N$78))</f>
        <v>0.75</v>
      </c>
      <c r="Q61" s="35" t="str">
        <f aca="false">IF(ISNUMBER(L61),IFERROR(INDEX(Grille!$X$32:$AB$32,1,MATCH(L61,{100,75,50,25,0},0)),""),"")</f>
        <v>Contrôles moyens, quelques dépendances/sites uniques, capex nécessaire mais finançable</v>
      </c>
      <c r="X61" s="26" t="n">
        <f aca="false">IF(OR(J61="Manquante",K61=""),1,0)</f>
        <v>0</v>
      </c>
      <c r="Y61" s="0" t="n">
        <v>0</v>
      </c>
      <c r="Z61" s="26" t="n">
        <f aca="false">IF(ISNUMBER(L61),L61*N61,0)</f>
        <v>0.75</v>
      </c>
    </row>
    <row r="62" customFormat="false" ht="30" hidden="false" customHeight="true" outlineLevel="0" collapsed="false">
      <c r="B62" s="17" t="s">
        <v>152</v>
      </c>
      <c r="C62" s="18" t="s">
        <v>138</v>
      </c>
      <c r="D62" s="19" t="s">
        <v>153</v>
      </c>
      <c r="E62" s="18" t="s">
        <v>88</v>
      </c>
      <c r="F62" s="18"/>
      <c r="G62" s="20"/>
      <c r="H62" s="6" t="s">
        <v>89</v>
      </c>
      <c r="I62" s="6" t="n">
        <v>50</v>
      </c>
      <c r="J62" s="21" t="str">
        <f aca="false">IF($S$4=0,H62,INDEX('Cas exemples'!$D$84:$H$84,1,$S$4))</f>
        <v>Disponible</v>
      </c>
      <c r="K62" s="21" t="n">
        <f aca="false">IF($S$4=0,IF(I62="","",I62),IF(INDEX('Cas exemples'!$D$85:$H$85,1,$S$4)="","",INDEX('Cas exemples'!$D$85:$H$85,1,$S$4)))</f>
        <v>50</v>
      </c>
      <c r="L62" s="22" t="n">
        <f aca="false">IF(Y62=1,"écarté",IF(X62=1,Paramètres!$C$5,K62))</f>
        <v>50</v>
      </c>
      <c r="M62" s="23" t="n">
        <f aca="false">INDEX(Grille!$H$33:$J$33,1,$S$5)</f>
        <v>0.01</v>
      </c>
      <c r="N62" s="23" t="n">
        <f aca="false">IF(Y62=1,0,M62)</f>
        <v>0.01</v>
      </c>
      <c r="O62" s="23" t="n">
        <f aca="false">IF(AND(J62="Disponible",X62=0),N62,0)</f>
        <v>0.01</v>
      </c>
      <c r="P62" s="24" t="n">
        <f aca="false">IF(SUM($N$34:$N$78)=0,0,Z62/SUM($N$34:$N$78))</f>
        <v>0.5</v>
      </c>
      <c r="Q62" s="25" t="str">
        <f aca="false">IF(ISNUMBER(L62),IFERROR(INDEX(Grille!$X$33:$AB$33,1,MATCH(L62,{100,75,50,25,0},0)),""),"")</f>
        <v>Croissance correcte mais dépendante de dette/BFR ; hypothèses raisonnables, mitigations identifiées</v>
      </c>
      <c r="X62" s="26" t="n">
        <f aca="false">IF(OR(J62="Manquante",K62=""),1,0)</f>
        <v>0</v>
      </c>
      <c r="Y62" s="0" t="n">
        <v>0</v>
      </c>
      <c r="Z62" s="26" t="n">
        <f aca="false">IF(ISNUMBER(L62),L62*N62,0)</f>
        <v>0.5</v>
      </c>
    </row>
    <row r="63" customFormat="false" ht="30" hidden="false" customHeight="true" outlineLevel="0" collapsed="false">
      <c r="B63" s="27" t="s">
        <v>154</v>
      </c>
      <c r="C63" s="28" t="s">
        <v>155</v>
      </c>
      <c r="D63" s="29" t="s">
        <v>156</v>
      </c>
      <c r="E63" s="28" t="s">
        <v>88</v>
      </c>
      <c r="F63" s="28"/>
      <c r="G63" s="30"/>
      <c r="H63" s="6" t="s">
        <v>89</v>
      </c>
      <c r="I63" s="6" t="n">
        <v>75</v>
      </c>
      <c r="J63" s="31" t="str">
        <f aca="false">IF($S$4=0,H63,INDEX('Cas exemples'!$D$86:$H$86,1,$S$4))</f>
        <v>Disponible</v>
      </c>
      <c r="K63" s="31" t="n">
        <f aca="false">IF($S$4=0,IF(I63="","",I63),IF(INDEX('Cas exemples'!$D$87:$H$87,1,$S$4)="","",INDEX('Cas exemples'!$D$87:$H$87,1,$S$4)))</f>
        <v>75</v>
      </c>
      <c r="L63" s="32" t="n">
        <f aca="false">IF(Y63=1,"écarté",IF(X63=1,Paramètres!$C$5,K63))</f>
        <v>75</v>
      </c>
      <c r="M63" s="33" t="n">
        <f aca="false">INDEX(Grille!$H$34:$J$34,1,$S$5)</f>
        <v>0.025</v>
      </c>
      <c r="N63" s="33" t="n">
        <f aca="false">IF(Y63=1,0,M63)</f>
        <v>0.025</v>
      </c>
      <c r="O63" s="33" t="n">
        <f aca="false">IF(AND(J63="Disponible",X63=0),N63,0)</f>
        <v>0.025</v>
      </c>
      <c r="P63" s="34" t="n">
        <f aca="false">IF(SUM($N$34:$N$78)=0,0,Z63/SUM($N$34:$N$78))</f>
        <v>1.875</v>
      </c>
      <c r="Q63" s="35" t="str">
        <f aca="false">IF(ISNUMBER(L63),IFERROR(INDEX(Grille!$X$34:$AB$34,1,MATCH(L63,{100,75,50,25,0},0)),""),"")</f>
        <v>Expérience 5–10 ans, faible turnover, compétences adaptées et résultats cohérents</v>
      </c>
      <c r="X63" s="26" t="n">
        <f aca="false">IF(OR(J63="Manquante",K63=""),1,0)</f>
        <v>0</v>
      </c>
      <c r="Y63" s="0" t="n">
        <v>0</v>
      </c>
      <c r="Z63" s="26" t="n">
        <f aca="false">IF(ISNUMBER(L63),L63*N63,0)</f>
        <v>1.875</v>
      </c>
    </row>
    <row r="64" customFormat="false" ht="30" hidden="false" customHeight="true" outlineLevel="0" collapsed="false">
      <c r="B64" s="17" t="s">
        <v>157</v>
      </c>
      <c r="C64" s="18" t="s">
        <v>155</v>
      </c>
      <c r="D64" s="19" t="s">
        <v>158</v>
      </c>
      <c r="E64" s="18" t="s">
        <v>88</v>
      </c>
      <c r="F64" s="18"/>
      <c r="G64" s="20"/>
      <c r="H64" s="6" t="s">
        <v>89</v>
      </c>
      <c r="I64" s="6" t="n">
        <v>50</v>
      </c>
      <c r="J64" s="21" t="str">
        <f aca="false">IF($S$4=0,H64,INDEX('Cas exemples'!$D$88:$H$88,1,$S$4))</f>
        <v>Disponible</v>
      </c>
      <c r="K64" s="21" t="n">
        <f aca="false">IF($S$4=0,IF(I64="","",I64),IF(INDEX('Cas exemples'!$D$89:$H$89,1,$S$4)="","",INDEX('Cas exemples'!$D$89:$H$89,1,$S$4)))</f>
        <v>50</v>
      </c>
      <c r="L64" s="22" t="n">
        <f aca="false">IF(Y64=1,"écarté",IF(X64=1,Paramètres!$C$5,K64))</f>
        <v>50</v>
      </c>
      <c r="M64" s="23" t="n">
        <f aca="false">INDEX(Grille!$H$35:$J$35,1,$S$5)</f>
        <v>0.015</v>
      </c>
      <c r="N64" s="23" t="n">
        <f aca="false">IF(Y64=1,0,M64)</f>
        <v>0.015</v>
      </c>
      <c r="O64" s="23" t="n">
        <f aca="false">IF(AND(J64="Disponible",X64=0),N64,0)</f>
        <v>0.015</v>
      </c>
      <c r="P64" s="24" t="n">
        <f aca="false">IF(SUM($N$34:$N$78)=0,0,Z64/SUM($N$34:$N$78))</f>
        <v>0.75</v>
      </c>
      <c r="Q64" s="25" t="str">
        <f aca="false">IF(ISNUMBER(L64),IFERROR(INDEX(Grille!$X$35:$AB$35,1,MATCH(L64,{100,75,50,25,0},0)),""),"")</f>
        <v>Dépendance réelle mais remplaçable en 3–6 mois ; plan partiel</v>
      </c>
      <c r="X64" s="26" t="n">
        <f aca="false">IF(OR(J64="Manquante",K64=""),1,0)</f>
        <v>0</v>
      </c>
      <c r="Y64" s="0" t="n">
        <v>0</v>
      </c>
      <c r="Z64" s="26" t="n">
        <f aca="false">IF(ISNUMBER(L64),L64*N64,0)</f>
        <v>0.75</v>
      </c>
    </row>
    <row r="65" customFormat="false" ht="30" hidden="false" customHeight="true" outlineLevel="0" collapsed="false">
      <c r="B65" s="27" t="s">
        <v>159</v>
      </c>
      <c r="C65" s="28" t="s">
        <v>155</v>
      </c>
      <c r="D65" s="29" t="s">
        <v>160</v>
      </c>
      <c r="E65" s="28" t="s">
        <v>88</v>
      </c>
      <c r="F65" s="28"/>
      <c r="G65" s="30"/>
      <c r="H65" s="6" t="s">
        <v>89</v>
      </c>
      <c r="I65" s="6" t="n">
        <v>75</v>
      </c>
      <c r="J65" s="31" t="str">
        <f aca="false">IF($S$4=0,H65,INDEX('Cas exemples'!$D$90:$H$90,1,$S$4))</f>
        <v>Disponible</v>
      </c>
      <c r="K65" s="31" t="n">
        <f aca="false">IF($S$4=0,IF(I65="","",I65),IF(INDEX('Cas exemples'!$D$91:$H$91,1,$S$4)="","",INDEX('Cas exemples'!$D$91:$H$91,1,$S$4)))</f>
        <v>75</v>
      </c>
      <c r="L65" s="32" t="n">
        <f aca="false">IF(Y65=1,"écarté",IF(X65=1,Paramètres!$C$5,K65))</f>
        <v>75</v>
      </c>
      <c r="M65" s="33" t="n">
        <f aca="false">INDEX(Grille!$H$36:$J$36,1,$S$5)</f>
        <v>0.02</v>
      </c>
      <c r="N65" s="33" t="n">
        <f aca="false">IF(Y65=1,0,M65)</f>
        <v>0.02</v>
      </c>
      <c r="O65" s="33" t="n">
        <f aca="false">IF(AND(J65="Disponible",X65=0),N65,0)</f>
        <v>0.02</v>
      </c>
      <c r="P65" s="34" t="n">
        <f aca="false">IF(SUM($N$34:$N$78)=0,0,Z65/SUM($N$34:$N$78))</f>
        <v>1.5</v>
      </c>
      <c r="Q65" s="35" t="str">
        <f aca="false">IF(ISNUMBER(L65),IFERROR(INDEX(Grille!$X$36:$AB$36,1,MATCH(L65,{100,75,50,25,0},0)),""),"")</f>
        <v>Gouvernance structurée, contrôles réguliers, incidents corrigés dans les délais</v>
      </c>
      <c r="X65" s="26" t="n">
        <f aca="false">IF(OR(J65="Manquante",K65=""),1,0)</f>
        <v>0</v>
      </c>
      <c r="Y65" s="0" t="n">
        <v>0</v>
      </c>
      <c r="Z65" s="26" t="n">
        <f aca="false">IF(ISNUMBER(L65),L65*N65,0)</f>
        <v>1.5</v>
      </c>
    </row>
    <row r="66" customFormat="false" ht="30" hidden="false" customHeight="true" outlineLevel="0" collapsed="false">
      <c r="B66" s="17" t="s">
        <v>161</v>
      </c>
      <c r="C66" s="18" t="s">
        <v>155</v>
      </c>
      <c r="D66" s="19" t="s">
        <v>162</v>
      </c>
      <c r="E66" s="18" t="s">
        <v>88</v>
      </c>
      <c r="F66" s="18"/>
      <c r="G66" s="20"/>
      <c r="H66" s="6" t="s">
        <v>89</v>
      </c>
      <c r="I66" s="6" t="n">
        <v>75</v>
      </c>
      <c r="J66" s="21" t="str">
        <f aca="false">IF($S$4=0,H66,INDEX('Cas exemples'!$D$92:$H$92,1,$S$4))</f>
        <v>Disponible</v>
      </c>
      <c r="K66" s="21" t="n">
        <f aca="false">IF($S$4=0,IF(I66="","",I66),IF(INDEX('Cas exemples'!$D$93:$H$93,1,$S$4)="","",INDEX('Cas exemples'!$D$93:$H$93,1,$S$4)))</f>
        <v>75</v>
      </c>
      <c r="L66" s="22" t="n">
        <f aca="false">IF(Y66=1,"écarté",IF(X66=1,Paramètres!$C$5,K66))</f>
        <v>75</v>
      </c>
      <c r="M66" s="23" t="n">
        <f aca="false">INDEX(Grille!$H$37:$J$37,1,$S$5)</f>
        <v>0.015</v>
      </c>
      <c r="N66" s="23" t="n">
        <f aca="false">IF(Y66=1,0,M66)</f>
        <v>0.015</v>
      </c>
      <c r="O66" s="23" t="n">
        <f aca="false">IF(AND(J66="Disponible",X66=0),N66,0)</f>
        <v>0.015</v>
      </c>
      <c r="P66" s="24" t="n">
        <f aca="false">IF(SUM($N$34:$N$78)=0,0,Z66/SUM($N$34:$N$78))</f>
        <v>1.125</v>
      </c>
      <c r="Q66" s="25" t="str">
        <f aca="false">IF(ISNUMBER(L66),IFERROR(INDEX(Grille!$X$37:$AB$37,1,MATCH(L66,{100,75,50,25,0},0)),""),"")</f>
        <v>Actionnaires solides et impliqués ; soutien documenté mais non totalement contraignant</v>
      </c>
      <c r="X66" s="26" t="n">
        <f aca="false">IF(OR(J66="Manquante",K66=""),1,0)</f>
        <v>0</v>
      </c>
      <c r="Y66" s="0" t="n">
        <v>0</v>
      </c>
      <c r="Z66" s="26" t="n">
        <f aca="false">IF(ISNUMBER(L66),L66*N66,0)</f>
        <v>1.125</v>
      </c>
    </row>
    <row r="67" customFormat="false" ht="30" hidden="false" customHeight="true" outlineLevel="0" collapsed="false">
      <c r="B67" s="27" t="s">
        <v>163</v>
      </c>
      <c r="C67" s="28" t="s">
        <v>155</v>
      </c>
      <c r="D67" s="29" t="s">
        <v>164</v>
      </c>
      <c r="E67" s="28" t="s">
        <v>88</v>
      </c>
      <c r="F67" s="28"/>
      <c r="G67" s="30"/>
      <c r="H67" s="6" t="s">
        <v>89</v>
      </c>
      <c r="I67" s="6" t="n">
        <v>50</v>
      </c>
      <c r="J67" s="31" t="str">
        <f aca="false">IF($S$4=0,H67,INDEX('Cas exemples'!$D$94:$H$94,1,$S$4))</f>
        <v>Disponible</v>
      </c>
      <c r="K67" s="31" t="n">
        <f aca="false">IF($S$4=0,IF(I67="","",I67),IF(INDEX('Cas exemples'!$D$95:$H$95,1,$S$4)="","",INDEX('Cas exemples'!$D$95:$H$95,1,$S$4)))</f>
        <v>50</v>
      </c>
      <c r="L67" s="32" t="n">
        <f aca="false">IF(Y67=1,"écarté",IF(X67=1,Paramètres!$C$5,K67))</f>
        <v>50</v>
      </c>
      <c r="M67" s="33" t="n">
        <f aca="false">INDEX(Grille!$H$38:$J$38,1,$S$5)</f>
        <v>0.015</v>
      </c>
      <c r="N67" s="33" t="n">
        <f aca="false">IF(Y67=1,0,M67)</f>
        <v>0.015</v>
      </c>
      <c r="O67" s="33" t="n">
        <f aca="false">IF(AND(J67="Disponible",X67=0),N67,0)</f>
        <v>0.015</v>
      </c>
      <c r="P67" s="34" t="n">
        <f aca="false">IF(SUM($N$34:$N$78)=0,0,Z67/SUM($N$34:$N$78))</f>
        <v>0.75</v>
      </c>
      <c r="Q67" s="35" t="str">
        <f aca="false">IF(ISNUMBER(L67),IFERROR(INDEX(Grille!$X$38:$AB$38,1,MATCH(L67,{100,75,50,25,0},0)),""),"")</f>
        <v>Plan raisonnable mais partiellement documenté ; réalisations 60–75 %</v>
      </c>
      <c r="X67" s="26" t="n">
        <f aca="false">IF(OR(J67="Manquante",K67=""),1,0)</f>
        <v>0</v>
      </c>
      <c r="Y67" s="0" t="n">
        <v>0</v>
      </c>
      <c r="Z67" s="26" t="n">
        <f aca="false">IF(ISNUMBER(L67),L67*N67,0)</f>
        <v>0.75</v>
      </c>
    </row>
    <row r="68" customFormat="false" ht="30" hidden="false" customHeight="true" outlineLevel="0" collapsed="false">
      <c r="B68" s="17" t="s">
        <v>165</v>
      </c>
      <c r="C68" s="18" t="s">
        <v>155</v>
      </c>
      <c r="D68" s="19" t="s">
        <v>166</v>
      </c>
      <c r="E68" s="18" t="s">
        <v>88</v>
      </c>
      <c r="F68" s="18"/>
      <c r="G68" s="20"/>
      <c r="H68" s="6" t="s">
        <v>89</v>
      </c>
      <c r="I68" s="6" t="n">
        <v>75</v>
      </c>
      <c r="J68" s="21" t="str">
        <f aca="false">IF($S$4=0,H68,INDEX('Cas exemples'!$D$96:$H$96,1,$S$4))</f>
        <v>Disponible</v>
      </c>
      <c r="K68" s="21" t="n">
        <f aca="false">IF($S$4=0,IF(I68="","",I68),IF(INDEX('Cas exemples'!$D$97:$H$97,1,$S$4)="","",INDEX('Cas exemples'!$D$97:$H$97,1,$S$4)))</f>
        <v>75</v>
      </c>
      <c r="L68" s="22" t="n">
        <f aca="false">IF(Y68=1,"écarté",IF(X68=1,Paramètres!$C$5,K68))</f>
        <v>75</v>
      </c>
      <c r="M68" s="23" t="n">
        <f aca="false">INDEX(Grille!$H$39:$J$39,1,$S$5)</f>
        <v>0.015</v>
      </c>
      <c r="N68" s="23" t="n">
        <f aca="false">IF(Y68=1,0,M68)</f>
        <v>0.015</v>
      </c>
      <c r="O68" s="23" t="n">
        <f aca="false">IF(AND(J68="Disponible",X68=0),N68,0)</f>
        <v>0.015</v>
      </c>
      <c r="P68" s="24" t="n">
        <f aca="false">IF(SUM($N$34:$N$78)=0,0,Z68/SUM($N$34:$N$78))</f>
        <v>1.125</v>
      </c>
      <c r="Q68" s="25" t="str">
        <f aca="false">IF(ISNUMBER(L68),IFERROR(INDEX(Grille!$X$39:$AB$39,1,MATCH(L68,{100,75,50,25,0},0)),""),"")</f>
        <v>Transactions significatives mais transparentes, contractuelles et recouvrées normalement</v>
      </c>
      <c r="X68" s="26" t="n">
        <f aca="false">IF(OR(J68="Manquante",K68=""),1,0)</f>
        <v>0</v>
      </c>
      <c r="Y68" s="0" t="n">
        <v>0</v>
      </c>
      <c r="Z68" s="26" t="n">
        <f aca="false">IF(ISNUMBER(L68),L68*N68,0)</f>
        <v>1.125</v>
      </c>
    </row>
    <row r="69" customFormat="false" ht="30" hidden="false" customHeight="true" outlineLevel="0" collapsed="false">
      <c r="B69" s="27" t="s">
        <v>167</v>
      </c>
      <c r="C69" s="28" t="s">
        <v>155</v>
      </c>
      <c r="D69" s="29" t="s">
        <v>168</v>
      </c>
      <c r="E69" s="28" t="s">
        <v>88</v>
      </c>
      <c r="F69" s="28"/>
      <c r="G69" s="30"/>
      <c r="H69" s="6" t="s">
        <v>89</v>
      </c>
      <c r="I69" s="6" t="n">
        <v>50</v>
      </c>
      <c r="J69" s="31" t="str">
        <f aca="false">IF($S$4=0,H69,INDEX('Cas exemples'!$D$98:$H$98,1,$S$4))</f>
        <v>Disponible</v>
      </c>
      <c r="K69" s="31" t="n">
        <f aca="false">IF($S$4=0,IF(I69="","",I69),IF(INDEX('Cas exemples'!$D$99:$H$99,1,$S$4)="","",INDEX('Cas exemples'!$D$99:$H$99,1,$S$4)))</f>
        <v>50</v>
      </c>
      <c r="L69" s="32" t="n">
        <f aca="false">IF(Y69=1,"écarté",IF(X69=1,Paramètres!$C$5,K69))</f>
        <v>50</v>
      </c>
      <c r="M69" s="33" t="n">
        <f aca="false">INDEX(Grille!$H$40:$J$40,1,$S$5)</f>
        <v>0.015</v>
      </c>
      <c r="N69" s="33" t="n">
        <f aca="false">IF(Y69=1,0,M69)</f>
        <v>0.015</v>
      </c>
      <c r="O69" s="33" t="n">
        <f aca="false">IF(AND(J69="Disponible",X69=0),N69,0)</f>
        <v>0.015</v>
      </c>
      <c r="P69" s="34" t="n">
        <f aca="false">IF(SUM($N$34:$N$78)=0,0,Z69/SUM($N$34:$N$78))</f>
        <v>0.75</v>
      </c>
      <c r="Q69" s="35" t="str">
        <f aca="false">IF(ISNUMBER(L69),IFERROR(INDEX(Grille!$X$40:$AB$40,1,MATCH(L69,{100,75,50,25,0},0)),""),"")</f>
        <v>Reporting annuel/intermédiaire suffisant mais peu prospectif ; dépendance à l'expert-comptable</v>
      </c>
      <c r="X69" s="26" t="n">
        <f aca="false">IF(OR(J69="Manquante",K69=""),1,0)</f>
        <v>0</v>
      </c>
      <c r="Y69" s="0" t="n">
        <v>0</v>
      </c>
      <c r="Z69" s="26" t="n">
        <f aca="false">IF(ISNUMBER(L69),L69*N69,0)</f>
        <v>0.75</v>
      </c>
    </row>
    <row r="70" customFormat="false" ht="30" hidden="false" customHeight="true" outlineLevel="0" collapsed="false">
      <c r="B70" s="17" t="s">
        <v>169</v>
      </c>
      <c r="C70" s="18" t="s">
        <v>170</v>
      </c>
      <c r="D70" s="19" t="s">
        <v>171</v>
      </c>
      <c r="E70" s="18" t="s">
        <v>88</v>
      </c>
      <c r="F70" s="18"/>
      <c r="G70" s="20"/>
      <c r="H70" s="6" t="s">
        <v>89</v>
      </c>
      <c r="I70" s="6" t="n">
        <v>100</v>
      </c>
      <c r="J70" s="21" t="str">
        <f aca="false">IF($S$4=0,H70,INDEX('Cas exemples'!$D$100:$H$100,1,$S$4))</f>
        <v>Disponible</v>
      </c>
      <c r="K70" s="21" t="n">
        <f aca="false">IF($S$4=0,IF(I70="","",I70),IF(INDEX('Cas exemples'!$D$101:$H$101,1,$S$4)="","",INDEX('Cas exemples'!$D$101:$H$101,1,$S$4)))</f>
        <v>100</v>
      </c>
      <c r="L70" s="22" t="n">
        <f aca="false">IF(Y70=1,"écarté",IF(X70=1,Paramètres!$C$5,K70))</f>
        <v>100</v>
      </c>
      <c r="M70" s="23" t="n">
        <f aca="false">INDEX(Grille!$H$41:$J$41,1,$S$5)</f>
        <v>0.0125</v>
      </c>
      <c r="N70" s="23" t="n">
        <f aca="false">IF(Y70=1,0,M70)</f>
        <v>0.0125</v>
      </c>
      <c r="O70" s="23" t="n">
        <f aca="false">IF(AND(J70="Disponible",X70=0),N70,0)</f>
        <v>0.0125</v>
      </c>
      <c r="P70" s="24" t="n">
        <f aca="false">IF(SUM($N$34:$N$78)=0,0,Z70/SUM($N$34:$N$78))</f>
        <v>1.25</v>
      </c>
      <c r="Q70" s="25" t="str">
        <f aca="false">IF(ISNUMBER(L70),IFERROR(INDEX(Grille!$X$41:$AB$41,1,MATCH(L70,{100,75,50,25,0},0)),""),"")</f>
        <v>Comptes audités/certifiés sans réserve matérielle ; ou TPE non soumise avec comptes rapprochés à fiabilité élevée</v>
      </c>
      <c r="X70" s="26" t="n">
        <f aca="false">IF(OR(J70="Manquante",K70=""),1,0)</f>
        <v>0</v>
      </c>
      <c r="Y70" s="0" t="n">
        <v>0</v>
      </c>
      <c r="Z70" s="26" t="n">
        <f aca="false">IF(ISNUMBER(L70),L70*N70,0)</f>
        <v>1.25</v>
      </c>
    </row>
    <row r="71" customFormat="false" ht="30" hidden="false" customHeight="true" outlineLevel="0" collapsed="false">
      <c r="B71" s="27" t="s">
        <v>172</v>
      </c>
      <c r="C71" s="28" t="s">
        <v>170</v>
      </c>
      <c r="D71" s="29" t="s">
        <v>173</v>
      </c>
      <c r="E71" s="28" t="s">
        <v>96</v>
      </c>
      <c r="F71" s="28" t="s">
        <v>124</v>
      </c>
      <c r="G71" s="30"/>
      <c r="H71" s="6" t="s">
        <v>89</v>
      </c>
      <c r="I71" s="6" t="n">
        <v>100</v>
      </c>
      <c r="J71" s="31" t="str">
        <f aca="false">IF($S$4=0,H71,INDEX('Cas exemples'!$D$102:$H$102,1,$S$4))</f>
        <v>Disponible</v>
      </c>
      <c r="K71" s="31" t="n">
        <f aca="false">IF($S$4=0,IF(I71="","",I71),IF(INDEX('Cas exemples'!$D$103:$H$103,1,$S$4)="","",INDEX('Cas exemples'!$D$103:$H$103,1,$S$4)))</f>
        <v>100</v>
      </c>
      <c r="L71" s="32" t="n">
        <f aca="false">IF(Y71=1,"écarté",IF(X71=1,Paramètres!$C$5,IF(W71="Croissant",IF(K71&gt;=S71,100,IF(K71&gt;=T71,75,IF(K71&gt;=U71,50,IF(K71&gt;=V71,25,0)))),IF(K71&lt;=S71,100,IF(K71&lt;=T71,75,IF(K71&lt;=U71,50,IF(K71&lt;=V71,25,0)))))))</f>
        <v>75</v>
      </c>
      <c r="M71" s="33" t="n">
        <f aca="false">INDEX(Grille!$H$42:$J$42,1,$S$5)</f>
        <v>0.01</v>
      </c>
      <c r="N71" s="33" t="n">
        <f aca="false">IF(Y71=1,0,M71)</f>
        <v>0.01</v>
      </c>
      <c r="O71" s="33" t="n">
        <f aca="false">IF(AND(J71="Disponible",X71=0),N71,0)</f>
        <v>0.01</v>
      </c>
      <c r="P71" s="34" t="n">
        <f aca="false">IF(SUM($N$34:$N$78)=0,0,Z71/SUM($N$34:$N$78))</f>
        <v>0.75</v>
      </c>
      <c r="Q71" s="35" t="str">
        <f aca="false">IF(W71="Croissant","100 si ≥ "&amp;S71&amp;" · 75 si ≥ "&amp;T71&amp;" · 50 si ≥ "&amp;U71&amp;" · 25 si ≥ "&amp;V71&amp;" · sinon 0","100 si ≤ "&amp;S71&amp;" · 75 si ≤ "&amp;T71&amp;" · 50 si ≤ "&amp;U71&amp;" · 25 si ≤ "&amp;V71&amp;" · sinon 0")</f>
        <v>100 si ≤ 90 · 75 si ≤ 150 · 50 si ≤ 210 · 25 si ≤ 300 · sinon 0</v>
      </c>
      <c r="S71" s="26" t="n">
        <f aca="false">INDEX(Grille!$L$42:$W$42,1,($S$5-1)*4+1)</f>
        <v>90</v>
      </c>
      <c r="T71" s="26" t="n">
        <f aca="false">INDEX(Grille!$L$42:$W$42,1,($S$5-1)*4+2)</f>
        <v>150</v>
      </c>
      <c r="U71" s="26" t="n">
        <f aca="false">INDEX(Grille!$L$42:$W$42,1,($S$5-1)*4+3)</f>
        <v>210</v>
      </c>
      <c r="V71" s="26" t="n">
        <f aca="false">INDEX(Grille!$L$42:$W$42,1,($S$5-1)*4+4)</f>
        <v>300</v>
      </c>
      <c r="W71" s="0" t="str">
        <f aca="false">Grille!$K$42</f>
        <v>Décroissant</v>
      </c>
      <c r="X71" s="26" t="n">
        <f aca="false">IF(OR(J71="Manquante",K71=""),1,0)</f>
        <v>0</v>
      </c>
      <c r="Y71" s="0" t="n">
        <v>0</v>
      </c>
      <c r="Z71" s="26" t="n">
        <f aca="false">IF(ISNUMBER(L71),L71*N71,0)</f>
        <v>0.75</v>
      </c>
    </row>
    <row r="72" customFormat="false" ht="30" hidden="false" customHeight="true" outlineLevel="0" collapsed="false">
      <c r="B72" s="17" t="s">
        <v>174</v>
      </c>
      <c r="C72" s="18" t="s">
        <v>170</v>
      </c>
      <c r="D72" s="19" t="s">
        <v>175</v>
      </c>
      <c r="E72" s="18" t="s">
        <v>96</v>
      </c>
      <c r="F72" s="18" t="s">
        <v>97</v>
      </c>
      <c r="G72" s="20"/>
      <c r="H72" s="6" t="s">
        <v>89</v>
      </c>
      <c r="I72" s="6" t="n">
        <v>1</v>
      </c>
      <c r="J72" s="21" t="str">
        <f aca="false">IF($S$4=0,H72,INDEX('Cas exemples'!$D$104:$H$104,1,$S$4))</f>
        <v>Disponible</v>
      </c>
      <c r="K72" s="21" t="n">
        <f aca="false">IF($S$4=0,IF(I72="","",I72),IF(INDEX('Cas exemples'!$D$105:$H$105,1,$S$4)="","",INDEX('Cas exemples'!$D$105:$H$105,1,$S$4)))</f>
        <v>1</v>
      </c>
      <c r="L72" s="22" t="n">
        <f aca="false">IF(Y72=1,"écarté",IF(X72=1,Paramètres!$C$5,IF(W72="Croissant",IF(K72&gt;=S72,100,IF(K72&gt;=T72,75,IF(K72&gt;=U72,50,IF(K72&gt;=V72,25,0)))),IF(K72&lt;=S72,100,IF(K72&lt;=T72,75,IF(K72&lt;=U72,50,IF(K72&lt;=V72,25,0)))))))</f>
        <v>100</v>
      </c>
      <c r="M72" s="23" t="n">
        <f aca="false">INDEX(Grille!$H$43:$J$43,1,$S$5)</f>
        <v>0.01</v>
      </c>
      <c r="N72" s="23" t="n">
        <f aca="false">IF(Y72=1,0,M72)</f>
        <v>0.01</v>
      </c>
      <c r="O72" s="23" t="n">
        <f aca="false">IF(AND(J72="Disponible",X72=0),N72,0)</f>
        <v>0.01</v>
      </c>
      <c r="P72" s="24" t="n">
        <f aca="false">IF(SUM($N$34:$N$78)=0,0,Z72/SUM($N$34:$N$78))</f>
        <v>1</v>
      </c>
      <c r="Q72" s="25" t="str">
        <f aca="false">IF(W72="Croissant","100 si ≥ "&amp;S72&amp;" · 75 si ≥ "&amp;T72&amp;" · 50 si ≥ "&amp;U72&amp;" · 25 si ≥ "&amp;V72&amp;" · sinon 0","100 si ≤ "&amp;S72&amp;" · 75 si ≤ "&amp;T72&amp;" · 50 si ≤ "&amp;U72&amp;" · 25 si ≤ "&amp;V72&amp;" · sinon 0")</f>
        <v>100 si ≤ 2 · 75 si ≤ 5 · 50 si ≤ 10 · 25 si ≤ 20 · sinon 0</v>
      </c>
      <c r="S72" s="26" t="n">
        <f aca="false">INDEX(Grille!$L$43:$W$43,1,($S$5-1)*4+1)</f>
        <v>2</v>
      </c>
      <c r="T72" s="26" t="n">
        <f aca="false">INDEX(Grille!$L$43:$W$43,1,($S$5-1)*4+2)</f>
        <v>5</v>
      </c>
      <c r="U72" s="26" t="n">
        <f aca="false">INDEX(Grille!$L$43:$W$43,1,($S$5-1)*4+3)</f>
        <v>10</v>
      </c>
      <c r="V72" s="26" t="n">
        <f aca="false">INDEX(Grille!$L$43:$W$43,1,($S$5-1)*4+4)</f>
        <v>20</v>
      </c>
      <c r="W72" s="0" t="str">
        <f aca="false">Grille!$K$43</f>
        <v>Décroissant</v>
      </c>
      <c r="X72" s="26" t="n">
        <f aca="false">IF(OR(J72="Manquante",K72=""),1,0)</f>
        <v>0</v>
      </c>
      <c r="Y72" s="0" t="n">
        <v>0</v>
      </c>
      <c r="Z72" s="26" t="n">
        <f aca="false">IF(ISNUMBER(L72),L72*N72,0)</f>
        <v>1</v>
      </c>
    </row>
    <row r="73" customFormat="false" ht="30" hidden="false" customHeight="true" outlineLevel="0" collapsed="false">
      <c r="B73" s="27" t="s">
        <v>176</v>
      </c>
      <c r="C73" s="28" t="s">
        <v>170</v>
      </c>
      <c r="D73" s="29" t="s">
        <v>177</v>
      </c>
      <c r="E73" s="28" t="s">
        <v>88</v>
      </c>
      <c r="F73" s="28"/>
      <c r="G73" s="30"/>
      <c r="H73" s="6" t="s">
        <v>89</v>
      </c>
      <c r="I73" s="6" t="n">
        <v>75</v>
      </c>
      <c r="J73" s="31" t="str">
        <f aca="false">IF($S$4=0,H73,INDEX('Cas exemples'!$D$106:$H$106,1,$S$4))</f>
        <v>Disponible</v>
      </c>
      <c r="K73" s="31" t="n">
        <f aca="false">IF($S$4=0,IF(I73="","",I73),IF(INDEX('Cas exemples'!$D$107:$H$107,1,$S$4)="","",INDEX('Cas exemples'!$D$107:$H$107,1,$S$4)))</f>
        <v>75</v>
      </c>
      <c r="L73" s="32" t="n">
        <f aca="false">IF(Y73=1,"écarté",IF(X73=1,Paramètres!$C$5,K73))</f>
        <v>75</v>
      </c>
      <c r="M73" s="33" t="n">
        <f aca="false">INDEX(Grille!$H$44:$J$44,1,$S$5)</f>
        <v>0.01</v>
      </c>
      <c r="N73" s="33" t="n">
        <f aca="false">IF(Y73=1,0,M73)</f>
        <v>0.01</v>
      </c>
      <c r="O73" s="33" t="n">
        <f aca="false">IF(AND(J73="Disponible",X73=0),N73,0)</f>
        <v>0.01</v>
      </c>
      <c r="P73" s="34" t="n">
        <f aca="false">IF(SUM($N$34:$N$78)=0,0,Z73/SUM($N$34:$N$78))</f>
        <v>0.75</v>
      </c>
      <c r="Q73" s="35" t="str">
        <f aca="false">IF(ISNUMBER(L73),IFERROR(INDEX(Grille!$X$44:$AB$44,1,MATCH(L73,{100,75,50,25,0},0)),""),"")</f>
        <v>Retard mineur régularisé, contrôle courant sans enjeu matériel</v>
      </c>
      <c r="X73" s="26" t="n">
        <f aca="false">IF(OR(J73="Manquante",K73=""),1,0)</f>
        <v>0</v>
      </c>
      <c r="Y73" s="0" t="n">
        <v>0</v>
      </c>
      <c r="Z73" s="26" t="n">
        <f aca="false">IF(ISNUMBER(L73),L73*N73,0)</f>
        <v>0.75</v>
      </c>
    </row>
    <row r="74" customFormat="false" ht="30" hidden="false" customHeight="true" outlineLevel="0" collapsed="false">
      <c r="B74" s="17" t="s">
        <v>178</v>
      </c>
      <c r="C74" s="18" t="s">
        <v>170</v>
      </c>
      <c r="D74" s="19" t="s">
        <v>179</v>
      </c>
      <c r="E74" s="18" t="s">
        <v>88</v>
      </c>
      <c r="F74" s="18"/>
      <c r="G74" s="20"/>
      <c r="H74" s="6" t="s">
        <v>89</v>
      </c>
      <c r="I74" s="6" t="n">
        <v>75</v>
      </c>
      <c r="J74" s="21" t="str">
        <f aca="false">IF($S$4=0,H74,INDEX('Cas exemples'!$D$108:$H$108,1,$S$4))</f>
        <v>Disponible</v>
      </c>
      <c r="K74" s="21" t="n">
        <f aca="false">IF($S$4=0,IF(I74="","",I74),IF(INDEX('Cas exemples'!$D$109:$H$109,1,$S$4)="","",INDEX('Cas exemples'!$D$109:$H$109,1,$S$4)))</f>
        <v>75</v>
      </c>
      <c r="L74" s="22" t="n">
        <f aca="false">IF(Y74=1,"écarté",IF(X74=1,Paramètres!$C$5,K74))</f>
        <v>75</v>
      </c>
      <c r="M74" s="23" t="n">
        <f aca="false">INDEX(Grille!$H$45:$J$45,1,$S$5)</f>
        <v>0.0075</v>
      </c>
      <c r="N74" s="23" t="n">
        <f aca="false">IF(Y74=1,0,M74)</f>
        <v>0.0075</v>
      </c>
      <c r="O74" s="23" t="n">
        <f aca="false">IF(AND(J74="Disponible",X74=0),N74,0)</f>
        <v>0.0075</v>
      </c>
      <c r="P74" s="24" t="n">
        <f aca="false">IF(SUM($N$34:$N$78)=0,0,Z74/SUM($N$34:$N$78))</f>
        <v>0.5625</v>
      </c>
      <c r="Q74" s="25" t="str">
        <f aca="false">IF(ISNUMBER(L74),IFERROR(INDEX(Grille!$X$45:$AB$45,1,MATCH(L74,{100,75,50,25,0},0)),""),"")</f>
        <v>Lacune mineure sans ambiguïté sur contrôle/pouvoirs, correction rapide</v>
      </c>
      <c r="X74" s="26" t="n">
        <f aca="false">IF(OR(J74="Manquante",K74=""),1,0)</f>
        <v>0</v>
      </c>
      <c r="Y74" s="0" t="n">
        <v>0</v>
      </c>
      <c r="Z74" s="26" t="n">
        <f aca="false">IF(ISNUMBER(L74),L74*N74,0)</f>
        <v>0.5625</v>
      </c>
    </row>
    <row r="75" customFormat="false" ht="30" hidden="false" customHeight="true" outlineLevel="0" collapsed="false">
      <c r="B75" s="27" t="s">
        <v>180</v>
      </c>
      <c r="C75" s="28" t="s">
        <v>181</v>
      </c>
      <c r="D75" s="29" t="s">
        <v>182</v>
      </c>
      <c r="E75" s="28" t="s">
        <v>88</v>
      </c>
      <c r="F75" s="28"/>
      <c r="G75" s="30"/>
      <c r="H75" s="6" t="s">
        <v>89</v>
      </c>
      <c r="I75" s="6" t="n">
        <v>50</v>
      </c>
      <c r="J75" s="31" t="str">
        <f aca="false">IF($S$4=0,H75,INDEX('Cas exemples'!$D$110:$H$110,1,$S$4))</f>
        <v>Disponible</v>
      </c>
      <c r="K75" s="31" t="n">
        <f aca="false">IF($S$4=0,IF(I75="","",I75),IF(INDEX('Cas exemples'!$D$111:$H$111,1,$S$4)="","",INDEX('Cas exemples'!$D$111:$H$111,1,$S$4)))</f>
        <v>50</v>
      </c>
      <c r="L75" s="32" t="str">
        <f aca="false">IF(Y75=1,"écarté",IF(X75=1,Paramètres!$C$5,K75))</f>
        <v>écarté</v>
      </c>
      <c r="M75" s="33" t="n">
        <f aca="false">INDEX(Grille!$H$46:$J$46,1,$S$5)</f>
        <v>0.01</v>
      </c>
      <c r="N75" s="33" t="n">
        <f aca="false">IF(Y75=1,0,M75)</f>
        <v>0</v>
      </c>
      <c r="O75" s="33" t="n">
        <f aca="false">IF(AND(J75="Disponible",X75=0),N75,0)</f>
        <v>0</v>
      </c>
      <c r="P75" s="34" t="n">
        <f aca="false">IF(SUM($N$34:$N$78)=0,0,Z75/SUM($N$34:$N$78))</f>
        <v>0</v>
      </c>
      <c r="Q75" s="35" t="str">
        <f aca="false">IF(ISNUMBER(L75),IFERROR(INDEX(Grille!$X$46:$AB$46,1,MATCH(L75,{100,75,50,25,0},0)),""),"")</f>
        <v/>
      </c>
      <c r="X75" s="26" t="n">
        <f aca="false">IF(OR(J75="Manquante",K75=""),1,0)</f>
        <v>0</v>
      </c>
      <c r="Y75" s="26" t="n">
        <f aca="false">IF($F$10="Oui",0,1)</f>
        <v>1</v>
      </c>
      <c r="Z75" s="26" t="n">
        <f aca="false">IF(ISNUMBER(L75),L75*N75,0)</f>
        <v>0</v>
      </c>
    </row>
    <row r="76" customFormat="false" ht="30" hidden="false" customHeight="true" outlineLevel="0" collapsed="false">
      <c r="B76" s="17" t="s">
        <v>183</v>
      </c>
      <c r="C76" s="18" t="s">
        <v>181</v>
      </c>
      <c r="D76" s="19" t="s">
        <v>184</v>
      </c>
      <c r="E76" s="18" t="s">
        <v>88</v>
      </c>
      <c r="F76" s="18"/>
      <c r="G76" s="20"/>
      <c r="H76" s="6" t="s">
        <v>89</v>
      </c>
      <c r="I76" s="6" t="n">
        <v>50</v>
      </c>
      <c r="J76" s="21" t="str">
        <f aca="false">IF($S$4=0,H76,INDEX('Cas exemples'!$D$112:$H$112,1,$S$4))</f>
        <v>Disponible</v>
      </c>
      <c r="K76" s="21" t="n">
        <f aca="false">IF($S$4=0,IF(I76="","",I76),IF(INDEX('Cas exemples'!$D$113:$H$113,1,$S$4)="","",INDEX('Cas exemples'!$D$113:$H$113,1,$S$4)))</f>
        <v>50</v>
      </c>
      <c r="L76" s="22" t="str">
        <f aca="false">IF(Y76=1,"écarté",IF(X76=1,Paramètres!$C$5,K76))</f>
        <v>écarté</v>
      </c>
      <c r="M76" s="23" t="n">
        <f aca="false">INDEX(Grille!$H$47:$J$47,1,$S$5)</f>
        <v>0.0075</v>
      </c>
      <c r="N76" s="23" t="n">
        <f aca="false">IF(Y76=1,0,M76)</f>
        <v>0</v>
      </c>
      <c r="O76" s="23" t="n">
        <f aca="false">IF(AND(J76="Disponible",X76=0),N76,0)</f>
        <v>0</v>
      </c>
      <c r="P76" s="24" t="n">
        <f aca="false">IF(SUM($N$34:$N$78)=0,0,Z76/SUM($N$34:$N$78))</f>
        <v>0</v>
      </c>
      <c r="Q76" s="25" t="str">
        <f aca="false">IF(ISNUMBER(L76),IFERROR(INDEX(Grille!$X$47:$AB$47,1,MATCH(L76,{100,75,50,25,0},0)),""),"")</f>
        <v/>
      </c>
      <c r="X76" s="26" t="n">
        <f aca="false">IF(OR(J76="Manquante",K76=""),1,0)</f>
        <v>0</v>
      </c>
      <c r="Y76" s="26" t="n">
        <f aca="false">IF($F$11="Oui",0,1)</f>
        <v>1</v>
      </c>
      <c r="Z76" s="26" t="n">
        <f aca="false">IF(ISNUMBER(L76),L76*N76,0)</f>
        <v>0</v>
      </c>
    </row>
    <row r="77" customFormat="false" ht="30" hidden="false" customHeight="true" outlineLevel="0" collapsed="false">
      <c r="B77" s="27" t="s">
        <v>185</v>
      </c>
      <c r="C77" s="28" t="s">
        <v>181</v>
      </c>
      <c r="D77" s="29" t="s">
        <v>186</v>
      </c>
      <c r="E77" s="28" t="s">
        <v>88</v>
      </c>
      <c r="F77" s="28"/>
      <c r="G77" s="30"/>
      <c r="H77" s="6" t="s">
        <v>89</v>
      </c>
      <c r="I77" s="6" t="n">
        <v>75</v>
      </c>
      <c r="J77" s="31" t="str">
        <f aca="false">IF($S$4=0,H77,INDEX('Cas exemples'!$D$114:$H$114,1,$S$4))</f>
        <v>Disponible</v>
      </c>
      <c r="K77" s="31" t="n">
        <f aca="false">IF($S$4=0,IF(I77="","",I77),IF(INDEX('Cas exemples'!$D$115:$H$115,1,$S$4)="","",INDEX('Cas exemples'!$D$115:$H$115,1,$S$4)))</f>
        <v>75</v>
      </c>
      <c r="L77" s="32" t="n">
        <f aca="false">IF(Y77=1,"écarté",IF(X77=1,Paramètres!$C$5,K77))</f>
        <v>75</v>
      </c>
      <c r="M77" s="33" t="n">
        <f aca="false">INDEX(Grille!$H$48:$J$48,1,$S$5)</f>
        <v>0.0075</v>
      </c>
      <c r="N77" s="33" t="n">
        <f aca="false">IF(Y77=1,0,M77)+Y75*M75</f>
        <v>0.0175</v>
      </c>
      <c r="O77" s="33" t="n">
        <f aca="false">IF(AND(J77="Disponible",X77=0),N77,0)</f>
        <v>0.0175</v>
      </c>
      <c r="P77" s="34" t="n">
        <f aca="false">IF(SUM($N$34:$N$78)=0,0,Z77/SUM($N$34:$N$78))</f>
        <v>1.3125</v>
      </c>
      <c r="Q77" s="35" t="str">
        <f aca="false">IF(ISNUMBER(L77),IFERROR(INDEX(Grille!$X$48:$AB$48,1,MATCH(L77,{100,75,50,25,0},0)),""),"")</f>
        <v>Écart mineur corrigé, contrôles adaptés et historique satisfaisant</v>
      </c>
      <c r="X77" s="26" t="n">
        <f aca="false">IF(OR(J77="Manquante",K77=""),1,0)</f>
        <v>0</v>
      </c>
      <c r="Y77" s="0" t="n">
        <v>0</v>
      </c>
      <c r="Z77" s="26" t="n">
        <f aca="false">IF(ISNUMBER(L77),L77*N77,0)</f>
        <v>1.3125</v>
      </c>
    </row>
    <row r="78" customFormat="false" ht="30" hidden="false" customHeight="true" outlineLevel="0" collapsed="false">
      <c r="B78" s="17" t="s">
        <v>187</v>
      </c>
      <c r="C78" s="18" t="s">
        <v>181</v>
      </c>
      <c r="D78" s="19" t="s">
        <v>188</v>
      </c>
      <c r="E78" s="18" t="s">
        <v>88</v>
      </c>
      <c r="F78" s="18"/>
      <c r="G78" s="20"/>
      <c r="H78" s="6" t="s">
        <v>89</v>
      </c>
      <c r="I78" s="6" t="n">
        <v>50</v>
      </c>
      <c r="J78" s="21" t="str">
        <f aca="false">IF($S$4=0,H78,INDEX('Cas exemples'!$D$116:$H$116,1,$S$4))</f>
        <v>Disponible</v>
      </c>
      <c r="K78" s="21" t="n">
        <f aca="false">IF($S$4=0,IF(I78="","",I78),IF(INDEX('Cas exemples'!$D$117:$H$117,1,$S$4)="","",INDEX('Cas exemples'!$D$117:$H$117,1,$S$4)))</f>
        <v>50</v>
      </c>
      <c r="L78" s="22" t="n">
        <f aca="false">IF(Y78=1,"écarté",IF(X78=1,Paramètres!$C$5,K78))</f>
        <v>50</v>
      </c>
      <c r="M78" s="23" t="n">
        <f aca="false">INDEX(Grille!$H$49:$J$49,1,$S$5)</f>
        <v>0.005</v>
      </c>
      <c r="N78" s="23" t="n">
        <f aca="false">IF(Y78=1,0,M78)+Y76*M76</f>
        <v>0.0125</v>
      </c>
      <c r="O78" s="23" t="n">
        <f aca="false">IF(AND(J78="Disponible",X78=0),N78,0)</f>
        <v>0.0125</v>
      </c>
      <c r="P78" s="24" t="n">
        <f aca="false">IF(SUM($N$34:$N$78)=0,0,Z78/SUM($N$34:$N$78))</f>
        <v>0.625</v>
      </c>
      <c r="Q78" s="25" t="str">
        <f aca="false">IF(ISNUMBER(L78),IFERROR(INDEX(Grille!$X$49:$AB$49,1,MATCH(L78,{100,75,50,25,0},0)),""),"")</f>
        <v>Responsables identifiés, diagnostic initial et actions partielles</v>
      </c>
      <c r="X78" s="26" t="n">
        <f aca="false">IF(OR(J78="Manquante",K78=""),1,0)</f>
        <v>0</v>
      </c>
      <c r="Y78" s="0" t="n">
        <v>0</v>
      </c>
      <c r="Z78" s="26" t="n">
        <f aca="false">IF(ISNUMBER(L78),L78*N78,0)</f>
        <v>0.625</v>
      </c>
    </row>
    <row r="81" customFormat="false" ht="15" hidden="false" customHeight="false" outlineLevel="0" collapsed="false">
      <c r="B81" s="9" t="s">
        <v>189</v>
      </c>
    </row>
    <row r="82" customFormat="false" ht="23.85" hidden="false" customHeight="true" outlineLevel="0" collapsed="false">
      <c r="B82" s="10" t="s">
        <v>70</v>
      </c>
      <c r="C82" s="10"/>
      <c r="D82" s="10" t="s">
        <v>190</v>
      </c>
      <c r="E82" s="10" t="s">
        <v>191</v>
      </c>
      <c r="F82" s="10" t="s">
        <v>79</v>
      </c>
      <c r="G82" s="10"/>
      <c r="H82" s="10" t="s">
        <v>192</v>
      </c>
      <c r="I82" s="10" t="s">
        <v>193</v>
      </c>
    </row>
    <row r="83" customFormat="false" ht="15" hidden="false" customHeight="true" outlineLevel="0" collapsed="false">
      <c r="B83" s="38" t="s">
        <v>86</v>
      </c>
      <c r="C83" s="38"/>
      <c r="D83" s="39" t="s">
        <v>194</v>
      </c>
      <c r="E83" s="23" t="n">
        <f aca="false">SUMIF($C$34:$C$78,B83,$N$34:$N$78)</f>
        <v>0.3</v>
      </c>
      <c r="F83" s="40" t="n">
        <f aca="false">IF(E83=0,"",SUMIF($C$34:$C$78,B83,$Z$34:$Z$78)/E83)</f>
        <v>81.6666666666667</v>
      </c>
      <c r="G83" s="40"/>
      <c r="H83" s="41" t="n">
        <f aca="false">IF(E83=0,"",SUMIF($C$34:$C$78,B83,$O$34:$O$78)/E83)</f>
        <v>1</v>
      </c>
      <c r="I83" s="21" t="str">
        <f aca="false">IF(E83=0,"",IF(H83&lt;Paramètres!$C$7,"Oui","Non"))</f>
        <v>Non</v>
      </c>
    </row>
    <row r="84" customFormat="false" ht="15" hidden="false" customHeight="true" outlineLevel="0" collapsed="false">
      <c r="B84" s="12" t="s">
        <v>109</v>
      </c>
      <c r="C84" s="12"/>
      <c r="D84" s="4" t="s">
        <v>195</v>
      </c>
      <c r="E84" s="33" t="n">
        <f aca="false">SUMIF($C$34:$C$78,B84,$N$34:$N$78)</f>
        <v>0.15</v>
      </c>
      <c r="F84" s="42" t="n">
        <f aca="false">IF(E84=0,"",SUMIF($C$34:$C$78,B84,$Z$34:$Z$78)/E84)</f>
        <v>90</v>
      </c>
      <c r="G84" s="42"/>
      <c r="H84" s="43" t="n">
        <f aca="false">IF(E84=0,"",SUMIF($C$34:$C$78,B84,$O$34:$O$78)/E84)</f>
        <v>1</v>
      </c>
      <c r="I84" s="31" t="str">
        <f aca="false">IF(E84=0,"",IF(H84&lt;Paramètres!$C$7,"Oui","Non"))</f>
        <v>Non</v>
      </c>
    </row>
    <row r="85" customFormat="false" ht="15" hidden="false" customHeight="true" outlineLevel="0" collapsed="false">
      <c r="B85" s="38" t="s">
        <v>122</v>
      </c>
      <c r="C85" s="38"/>
      <c r="D85" s="39" t="s">
        <v>196</v>
      </c>
      <c r="E85" s="23" t="n">
        <f aca="false">SUMIF($C$34:$C$78,B85,$N$34:$N$78)</f>
        <v>0.2</v>
      </c>
      <c r="F85" s="40" t="n">
        <f aca="false">IF(E85=0,"",SUMIF($C$34:$C$78,B85,$Z$34:$Z$78)/E85)</f>
        <v>97.5</v>
      </c>
      <c r="G85" s="40"/>
      <c r="H85" s="41" t="n">
        <f aca="false">IF(E85=0,"",SUMIF($C$34:$C$78,B85,$O$34:$O$78)/E85)</f>
        <v>1</v>
      </c>
      <c r="I85" s="21" t="str">
        <f aca="false">IF(E85=0,"",IF(H85&lt;Paramètres!$C$7,"Oui","Non"))</f>
        <v>Non</v>
      </c>
    </row>
    <row r="86" customFormat="false" ht="15" hidden="false" customHeight="true" outlineLevel="0" collapsed="false">
      <c r="B86" s="12" t="s">
        <v>138</v>
      </c>
      <c r="C86" s="12"/>
      <c r="D86" s="4" t="s">
        <v>197</v>
      </c>
      <c r="E86" s="33" t="n">
        <f aca="false">SUMIF($C$34:$C$78,B86,$N$34:$N$78)</f>
        <v>0.15</v>
      </c>
      <c r="F86" s="42" t="n">
        <f aca="false">IF(E86=0,"",SUMIF($C$34:$C$78,B86,$Z$34:$Z$78)/E86)</f>
        <v>62.5</v>
      </c>
      <c r="G86" s="42"/>
      <c r="H86" s="43" t="n">
        <f aca="false">IF(E86=0,"",SUMIF($C$34:$C$78,B86,$O$34:$O$78)/E86)</f>
        <v>1</v>
      </c>
      <c r="I86" s="31" t="str">
        <f aca="false">IF(E86=0,"",IF(H86&lt;Paramètres!$C$7,"Oui","Non"))</f>
        <v>Non</v>
      </c>
    </row>
    <row r="87" customFormat="false" ht="15" hidden="false" customHeight="true" outlineLevel="0" collapsed="false">
      <c r="B87" s="38" t="s">
        <v>155</v>
      </c>
      <c r="C87" s="38"/>
      <c r="D87" s="39" t="s">
        <v>198</v>
      </c>
      <c r="E87" s="23" t="n">
        <f aca="false">SUMIF($C$34:$C$78,B87,$N$34:$N$78)</f>
        <v>0.12</v>
      </c>
      <c r="F87" s="40" t="n">
        <f aca="false">IF(E87=0,"",SUMIF($C$34:$C$78,B87,$Z$34:$Z$78)/E87)</f>
        <v>65.625</v>
      </c>
      <c r="G87" s="40"/>
      <c r="H87" s="41" t="n">
        <f aca="false">IF(E87=0,"",SUMIF($C$34:$C$78,B87,$O$34:$O$78)/E87)</f>
        <v>1</v>
      </c>
      <c r="I87" s="21" t="str">
        <f aca="false">IF(E87=0,"",IF(H87&lt;Paramètres!$C$7,"Oui","Non"))</f>
        <v>Non</v>
      </c>
    </row>
    <row r="88" customFormat="false" ht="15" hidden="false" customHeight="true" outlineLevel="0" collapsed="false">
      <c r="B88" s="12" t="s">
        <v>170</v>
      </c>
      <c r="C88" s="12"/>
      <c r="D88" s="4" t="s">
        <v>199</v>
      </c>
      <c r="E88" s="33" t="n">
        <f aca="false">SUMIF($C$34:$C$78,B88,$N$34:$N$78)</f>
        <v>0.05</v>
      </c>
      <c r="F88" s="42" t="n">
        <f aca="false">IF(E88=0,"",SUMIF($C$34:$C$78,B88,$Z$34:$Z$78)/E88)</f>
        <v>86.25</v>
      </c>
      <c r="G88" s="42"/>
      <c r="H88" s="43" t="n">
        <f aca="false">IF(E88=0,"",SUMIF($C$34:$C$78,B88,$O$34:$O$78)/E88)</f>
        <v>1</v>
      </c>
      <c r="I88" s="31" t="str">
        <f aca="false">IF(E88=0,"",IF(H88&lt;Paramètres!$C$7,"Oui","Non"))</f>
        <v>Non</v>
      </c>
    </row>
    <row r="89" customFormat="false" ht="15" hidden="false" customHeight="true" outlineLevel="0" collapsed="false">
      <c r="B89" s="38" t="s">
        <v>181</v>
      </c>
      <c r="C89" s="38"/>
      <c r="D89" s="39" t="s">
        <v>200</v>
      </c>
      <c r="E89" s="23" t="n">
        <f aca="false">SUMIF($C$34:$C$78,B89,$N$34:$N$78)</f>
        <v>0.03</v>
      </c>
      <c r="F89" s="40" t="n">
        <f aca="false">IF(E89=0,"",SUMIF($C$34:$C$78,B89,$Z$34:$Z$78)/E89)</f>
        <v>64.5833333333333</v>
      </c>
      <c r="G89" s="40"/>
      <c r="H89" s="41" t="n">
        <f aca="false">IF(E89=0,"",SUMIF($C$34:$C$78,B89,$O$34:$O$78)/E89)</f>
        <v>1</v>
      </c>
      <c r="I89" s="21" t="str">
        <f aca="false">IF(E89=0,"",IF(H89&lt;Paramètres!$C$7,"Oui","Non"))</f>
        <v>Non</v>
      </c>
    </row>
  </sheetData>
  <mergeCells count="93">
    <mergeCell ref="B1:Q1"/>
    <mergeCell ref="B2:Q2"/>
    <mergeCell ref="B4:C4"/>
    <mergeCell ref="E4:Q4"/>
    <mergeCell ref="B7:D7"/>
    <mergeCell ref="I7:L7"/>
    <mergeCell ref="M7:Q7"/>
    <mergeCell ref="B8:D8"/>
    <mergeCell ref="F8:G8"/>
    <mergeCell ref="I8:L8"/>
    <mergeCell ref="M8:Q8"/>
    <mergeCell ref="B9:D9"/>
    <mergeCell ref="F9:G9"/>
    <mergeCell ref="I9:L9"/>
    <mergeCell ref="M9:Q9"/>
    <mergeCell ref="B10:D10"/>
    <mergeCell ref="F10:G10"/>
    <mergeCell ref="I10:L10"/>
    <mergeCell ref="M10:Q10"/>
    <mergeCell ref="B11:D11"/>
    <mergeCell ref="F11:G11"/>
    <mergeCell ref="I11:L11"/>
    <mergeCell ref="M11:Q11"/>
    <mergeCell ref="B12:D12"/>
    <mergeCell ref="F12:G12"/>
    <mergeCell ref="I12:L12"/>
    <mergeCell ref="M12:Q12"/>
    <mergeCell ref="B13:D13"/>
    <mergeCell ref="F13:G13"/>
    <mergeCell ref="I13:L13"/>
    <mergeCell ref="M13:Q13"/>
    <mergeCell ref="B14:D14"/>
    <mergeCell ref="F14:G14"/>
    <mergeCell ref="I14:L14"/>
    <mergeCell ref="M14:Q14"/>
    <mergeCell ref="B15:D15"/>
    <mergeCell ref="F15:G15"/>
    <mergeCell ref="I15:L15"/>
    <mergeCell ref="M15:Q15"/>
    <mergeCell ref="B16:D16"/>
    <mergeCell ref="F16:G16"/>
    <mergeCell ref="I16:L16"/>
    <mergeCell ref="M16:Q16"/>
    <mergeCell ref="B17:D17"/>
    <mergeCell ref="F17:G17"/>
    <mergeCell ref="I17:L17"/>
    <mergeCell ref="M17:Q17"/>
    <mergeCell ref="B18:D18"/>
    <mergeCell ref="F18:G18"/>
    <mergeCell ref="I18:L18"/>
    <mergeCell ref="M18:Q18"/>
    <mergeCell ref="B19:D19"/>
    <mergeCell ref="F19:G19"/>
    <mergeCell ref="I19:L19"/>
    <mergeCell ref="M19:Q19"/>
    <mergeCell ref="B20:D20"/>
    <mergeCell ref="F20:G20"/>
    <mergeCell ref="I20:L20"/>
    <mergeCell ref="M20:Q20"/>
    <mergeCell ref="B21:D21"/>
    <mergeCell ref="F21:G21"/>
    <mergeCell ref="B22:D22"/>
    <mergeCell ref="F22:G22"/>
    <mergeCell ref="B23:D23"/>
    <mergeCell ref="F23:G23"/>
    <mergeCell ref="B24:D24"/>
    <mergeCell ref="F24:G24"/>
    <mergeCell ref="B25:D25"/>
    <mergeCell ref="F25:G25"/>
    <mergeCell ref="B26:D26"/>
    <mergeCell ref="F26:G26"/>
    <mergeCell ref="B27:D27"/>
    <mergeCell ref="F27:G27"/>
    <mergeCell ref="B28:D28"/>
    <mergeCell ref="F28:G28"/>
    <mergeCell ref="B29:D29"/>
    <mergeCell ref="F29:G29"/>
    <mergeCell ref="B82:C82"/>
    <mergeCell ref="F82:G82"/>
    <mergeCell ref="B83:C83"/>
    <mergeCell ref="F83:G83"/>
    <mergeCell ref="B84:C84"/>
    <mergeCell ref="F84:G84"/>
    <mergeCell ref="B85:C85"/>
    <mergeCell ref="F85:G85"/>
    <mergeCell ref="B86:C86"/>
    <mergeCell ref="F86:G86"/>
    <mergeCell ref="B87:C87"/>
    <mergeCell ref="F87:G87"/>
    <mergeCell ref="B88:C88"/>
    <mergeCell ref="F88:G88"/>
    <mergeCell ref="B89:C89"/>
    <mergeCell ref="F89:G89"/>
  </mergeCells>
  <conditionalFormatting sqref="M20">
    <cfRule type="expression" priority="2" aboveAverage="0" equalAverage="0" bottom="0" percent="0" rank="0" text="" dxfId="0">
      <formula>ISNUMBER(SEARCH("écart",$M$20))</formula>
    </cfRule>
  </conditionalFormatting>
  <conditionalFormatting sqref="I83:I89">
    <cfRule type="cellIs" priority="3" operator="equal" aboveAverage="0" equalAverage="0" bottom="0" percent="0" rank="0" text="" dxfId="0">
      <formula>"Oui"</formula>
    </cfRule>
  </conditionalFormatting>
  <conditionalFormatting sqref="L34:L78">
    <cfRule type="cellIs" priority="4" operator="lessThanOrEqual" aboveAverage="0" equalAverage="0" bottom="0" percent="0" rank="0" text="" dxfId="0">
      <formula>25</formula>
    </cfRule>
    <cfRule type="cellIs" priority="5" operator="greaterThanOrEqual" aboveAverage="0" equalAverage="0" bottom="0" percent="0" rank="0" text="" dxfId="1">
      <formula>75</formula>
    </cfRule>
  </conditionalFormatting>
  <dataValidations count="8">
    <dataValidation allowBlank="false" errorStyle="stop" operator="between" showDropDown="false" showErrorMessage="false" showInputMessage="false" sqref="D4" type="list">
      <formula1>"Saisie libre,A — Atlas Agro SA,B — Souss Négoce SARL,C — Tanger Logistique SA,D — Rif Bâtiment SARL,E — Fès Textile SA"</formula1>
      <formula2>0</formula2>
    </dataValidation>
    <dataValidation allowBlank="false" errorStyle="stop" operator="between" showDropDown="false" showErrorMessage="false" showInputMessage="false" sqref="E10:E11 E16:E22 E24:E28" type="list">
      <formula1>"Oui,Non"</formula1>
      <formula2>0</formula2>
    </dataValidation>
    <dataValidation allowBlank="false" errorStyle="stop" operator="between" showDropDown="false" showErrorMessage="false" showInputMessage="false" sqref="E9" type="list">
      <formula1>"TPE,PME,GE"</formula1>
      <formula2>0</formula2>
    </dataValidation>
    <dataValidation allowBlank="false" errorStyle="stop" operator="between" showDropDown="false" showErrorMessage="false" showInputMessage="false" sqref="E12:E15" type="list">
      <formula1>"100,75,50,25,0"</formula1>
      <formula2>0</formula2>
    </dataValidation>
    <dataValidation allowBlank="false" errorStyle="stop" operator="between" showDropDown="false" showErrorMessage="false" showInputMessage="false" sqref="E23" type="list">
      <formula1>"DEF1,DEF2,DEF3"</formula1>
      <formula2>0</formula2>
    </dataValidation>
    <dataValidation allowBlank="false" errorStyle="stop" operator="between" showDropDown="false" showErrorMessage="false" showInputMessage="false" sqref="E29" type="list">
      <formula1>"0,1,2"</formula1>
      <formula2>0</formula2>
    </dataValidation>
    <dataValidation allowBlank="false" errorStyle="stop" operator="between" showDropDown="false" showErrorMessage="false" showInputMessage="false" sqref="H34:H78" type="list">
      <formula1>"Disponible,Estimée,Manquante"</formula1>
      <formula2>0</formula2>
    </dataValidation>
    <dataValidation allowBlank="false" errorStyle="stop" operator="between" showDropDown="false" showErrorMessage="false" showInputMessage="false" sqref="I34:I36 I40 I45 I47 I49:I50 I52:I56 I59:I70 I73:I78" type="list">
      <formula1>"100,75,50,25,0"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A3B"/>
    <pageSetUpPr fitToPage="true"/>
  </sheetPr>
  <dimension ref="B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62"/>
  </cols>
  <sheetData>
    <row r="1" customFormat="false" ht="33.75" hidden="false" customHeight="true" outlineLevel="0" collapsed="false">
      <c r="B1" s="1" t="s">
        <v>201</v>
      </c>
      <c r="C1" s="1"/>
      <c r="D1" s="1"/>
      <c r="E1" s="1"/>
      <c r="F1" s="1"/>
    </row>
    <row r="2" customFormat="false" ht="30" hidden="false" customHeight="true" outlineLevel="0" collapsed="false">
      <c r="B2" s="2" t="s">
        <v>202</v>
      </c>
      <c r="C2" s="2"/>
      <c r="D2" s="2"/>
      <c r="E2" s="2"/>
      <c r="F2" s="2"/>
    </row>
    <row r="4" customFormat="false" ht="15" hidden="false" customHeight="false" outlineLevel="0" collapsed="false">
      <c r="B4" s="10" t="s">
        <v>203</v>
      </c>
      <c r="C4" s="10" t="s">
        <v>28</v>
      </c>
      <c r="D4" s="10" t="s">
        <v>204</v>
      </c>
    </row>
    <row r="5" customFormat="false" ht="22.35" hidden="false" customHeight="false" outlineLevel="0" collapsed="false">
      <c r="B5" s="11" t="s">
        <v>205</v>
      </c>
      <c r="C5" s="44" t="n">
        <v>25</v>
      </c>
      <c r="D5" s="7" t="s">
        <v>206</v>
      </c>
    </row>
    <row r="6" customFormat="false" ht="15" hidden="false" customHeight="false" outlineLevel="0" collapsed="false">
      <c r="B6" s="11" t="s">
        <v>207</v>
      </c>
      <c r="C6" s="45" t="n">
        <v>0.6</v>
      </c>
      <c r="D6" s="7" t="s">
        <v>208</v>
      </c>
    </row>
    <row r="7" customFormat="false" ht="15" hidden="false" customHeight="false" outlineLevel="0" collapsed="false">
      <c r="B7" s="11" t="s">
        <v>209</v>
      </c>
      <c r="C7" s="45" t="n">
        <v>0.3</v>
      </c>
      <c r="D7" s="7" t="s">
        <v>210</v>
      </c>
    </row>
    <row r="8" customFormat="false" ht="15" hidden="false" customHeight="false" outlineLevel="0" collapsed="false">
      <c r="B8" s="11" t="s">
        <v>211</v>
      </c>
      <c r="C8" s="45" t="n">
        <v>0.35</v>
      </c>
      <c r="D8" s="7" t="s">
        <v>212</v>
      </c>
    </row>
    <row r="9" customFormat="false" ht="15" hidden="false" customHeight="false" outlineLevel="0" collapsed="false">
      <c r="B9" s="11" t="s">
        <v>213</v>
      </c>
      <c r="C9" s="45" t="n">
        <v>0.2</v>
      </c>
      <c r="D9" s="7"/>
    </row>
    <row r="10" customFormat="false" ht="15" hidden="false" customHeight="false" outlineLevel="0" collapsed="false">
      <c r="B10" s="11" t="s">
        <v>214</v>
      </c>
      <c r="C10" s="45" t="n">
        <v>0.3</v>
      </c>
      <c r="D10" s="7"/>
    </row>
    <row r="11" customFormat="false" ht="15" hidden="false" customHeight="false" outlineLevel="0" collapsed="false">
      <c r="B11" s="11" t="s">
        <v>215</v>
      </c>
      <c r="C11" s="45" t="n">
        <v>0.15</v>
      </c>
      <c r="D11" s="7"/>
    </row>
    <row r="12" customFormat="false" ht="15" hidden="false" customHeight="false" outlineLevel="0" collapsed="false">
      <c r="B12" s="11" t="s">
        <v>216</v>
      </c>
      <c r="C12" s="44" t="n">
        <v>85</v>
      </c>
      <c r="D12" s="7" t="s">
        <v>217</v>
      </c>
    </row>
    <row r="13" customFormat="false" ht="15" hidden="false" customHeight="false" outlineLevel="0" collapsed="false">
      <c r="B13" s="11" t="s">
        <v>218</v>
      </c>
      <c r="C13" s="44" t="n">
        <v>70</v>
      </c>
      <c r="D13" s="7" t="s">
        <v>219</v>
      </c>
    </row>
    <row r="14" customFormat="false" ht="15" hidden="false" customHeight="false" outlineLevel="0" collapsed="false">
      <c r="B14" s="11" t="s">
        <v>220</v>
      </c>
      <c r="C14" s="44" t="n">
        <v>55</v>
      </c>
      <c r="D14" s="7" t="s">
        <v>221</v>
      </c>
    </row>
    <row r="15" customFormat="false" ht="15" hidden="false" customHeight="false" outlineLevel="0" collapsed="false">
      <c r="B15" s="11" t="s">
        <v>222</v>
      </c>
      <c r="C15" s="44" t="n">
        <v>2</v>
      </c>
      <c r="D15" s="7" t="s">
        <v>223</v>
      </c>
    </row>
    <row r="18" customFormat="false" ht="15" hidden="false" customHeight="false" outlineLevel="0" collapsed="false">
      <c r="B18" s="9" t="s">
        <v>224</v>
      </c>
    </row>
    <row r="19" customFormat="false" ht="23.85" hidden="false" customHeight="false" outlineLevel="0" collapsed="false">
      <c r="B19" s="10" t="s">
        <v>225</v>
      </c>
      <c r="C19" s="10" t="s">
        <v>226</v>
      </c>
      <c r="D19" s="10" t="s">
        <v>227</v>
      </c>
    </row>
    <row r="20" customFormat="false" ht="15" hidden="false" customHeight="false" outlineLevel="0" collapsed="false">
      <c r="B20" s="5" t="s">
        <v>228</v>
      </c>
      <c r="C20" s="6" t="n">
        <v>88</v>
      </c>
      <c r="D20" s="11" t="s">
        <v>229</v>
      </c>
    </row>
    <row r="21" customFormat="false" ht="15" hidden="false" customHeight="false" outlineLevel="0" collapsed="false">
      <c r="B21" s="5" t="s">
        <v>230</v>
      </c>
      <c r="C21" s="6" t="n">
        <v>82</v>
      </c>
      <c r="D21" s="11" t="s">
        <v>231</v>
      </c>
    </row>
    <row r="22" customFormat="false" ht="15" hidden="false" customHeight="false" outlineLevel="0" collapsed="false">
      <c r="B22" s="5" t="s">
        <v>232</v>
      </c>
      <c r="C22" s="6" t="n">
        <v>76</v>
      </c>
      <c r="D22" s="11" t="s">
        <v>233</v>
      </c>
    </row>
    <row r="23" customFormat="false" ht="15" hidden="false" customHeight="false" outlineLevel="0" collapsed="false">
      <c r="B23" s="5" t="s">
        <v>234</v>
      </c>
      <c r="C23" s="6" t="n">
        <v>70</v>
      </c>
      <c r="D23" s="11" t="s">
        <v>235</v>
      </c>
    </row>
    <row r="24" customFormat="false" ht="15" hidden="false" customHeight="false" outlineLevel="0" collapsed="false">
      <c r="B24" s="5" t="s">
        <v>236</v>
      </c>
      <c r="C24" s="6" t="n">
        <v>64</v>
      </c>
      <c r="D24" s="11" t="s">
        <v>237</v>
      </c>
    </row>
    <row r="25" customFormat="false" ht="15" hidden="false" customHeight="false" outlineLevel="0" collapsed="false">
      <c r="B25" s="5" t="s">
        <v>238</v>
      </c>
      <c r="C25" s="6" t="n">
        <v>57</v>
      </c>
      <c r="D25" s="11" t="s">
        <v>239</v>
      </c>
    </row>
    <row r="26" customFormat="false" ht="15" hidden="false" customHeight="false" outlineLevel="0" collapsed="false">
      <c r="B26" s="5" t="s">
        <v>240</v>
      </c>
      <c r="C26" s="6" t="n">
        <v>48</v>
      </c>
      <c r="D26" s="11" t="s">
        <v>241</v>
      </c>
    </row>
    <row r="27" customFormat="false" ht="15" hidden="false" customHeight="false" outlineLevel="0" collapsed="false">
      <c r="B27" s="5" t="s">
        <v>242</v>
      </c>
      <c r="C27" s="6" t="n">
        <v>0</v>
      </c>
      <c r="D27" s="11" t="s">
        <v>243</v>
      </c>
    </row>
    <row r="29" customFormat="false" ht="15" hidden="false" customHeight="false" outlineLevel="0" collapsed="false">
      <c r="B29" s="9" t="s">
        <v>244</v>
      </c>
    </row>
    <row r="30" customFormat="false" ht="15" hidden="false" customHeight="false" outlineLevel="0" collapsed="false">
      <c r="B30" s="10" t="s">
        <v>245</v>
      </c>
      <c r="C30" s="10" t="s">
        <v>246</v>
      </c>
      <c r="D30" s="10" t="s">
        <v>247</v>
      </c>
    </row>
    <row r="31" customFormat="false" ht="15" hidden="false" customHeight="false" outlineLevel="0" collapsed="false">
      <c r="B31" s="5" t="s">
        <v>248</v>
      </c>
      <c r="C31" s="6" t="s">
        <v>240</v>
      </c>
      <c r="D31" s="11" t="s">
        <v>249</v>
      </c>
    </row>
    <row r="32" customFormat="false" ht="15" hidden="false" customHeight="false" outlineLevel="0" collapsed="false">
      <c r="B32" s="5" t="s">
        <v>250</v>
      </c>
      <c r="C32" s="6" t="s">
        <v>240</v>
      </c>
      <c r="D32" s="11" t="s">
        <v>251</v>
      </c>
    </row>
    <row r="33" customFormat="false" ht="15" hidden="false" customHeight="false" outlineLevel="0" collapsed="false">
      <c r="B33" s="5" t="s">
        <v>252</v>
      </c>
      <c r="C33" s="6" t="s">
        <v>240</v>
      </c>
      <c r="D33" s="11" t="s">
        <v>253</v>
      </c>
    </row>
    <row r="34" customFormat="false" ht="15" hidden="false" customHeight="false" outlineLevel="0" collapsed="false">
      <c r="B34" s="5" t="s">
        <v>254</v>
      </c>
      <c r="C34" s="6" t="s">
        <v>238</v>
      </c>
      <c r="D34" s="11" t="s">
        <v>255</v>
      </c>
    </row>
  </sheetData>
  <mergeCells count="2">
    <mergeCell ref="B1:F1"/>
    <mergeCell ref="B2:F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A3B"/>
    <pageSetUpPr fitToPage="true"/>
  </sheetPr>
  <dimension ref="B1:AB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7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10" min="7" style="0" width="8"/>
    <col collapsed="false" customWidth="true" hidden="false" outlineLevel="0" max="11" min="11" style="0" width="11"/>
    <col collapsed="false" customWidth="true" hidden="false" outlineLevel="0" max="23" min="12" style="0" width="10"/>
    <col collapsed="false" customWidth="true" hidden="false" outlineLevel="0" max="28" min="24" style="0" width="34"/>
  </cols>
  <sheetData>
    <row r="1" customFormat="false" ht="33.75" hidden="false" customHeight="true" outlineLevel="0" collapsed="false">
      <c r="B1" s="1" t="s">
        <v>256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0" hidden="false" customHeight="true" outlineLevel="0" collapsed="false">
      <c r="B2" s="2" t="s">
        <v>257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23.85" hidden="false" customHeight="false" outlineLevel="0" collapsed="false">
      <c r="B4" s="10" t="s">
        <v>69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258</v>
      </c>
      <c r="I4" s="10" t="s">
        <v>259</v>
      </c>
      <c r="J4" s="10" t="s">
        <v>260</v>
      </c>
      <c r="K4" s="10" t="s">
        <v>261</v>
      </c>
      <c r="L4" s="10" t="s">
        <v>262</v>
      </c>
      <c r="M4" s="10" t="s">
        <v>263</v>
      </c>
      <c r="N4" s="10" t="s">
        <v>264</v>
      </c>
      <c r="O4" s="10" t="s">
        <v>265</v>
      </c>
      <c r="P4" s="10" t="s">
        <v>266</v>
      </c>
      <c r="Q4" s="10" t="s">
        <v>267</v>
      </c>
      <c r="R4" s="10" t="s">
        <v>268</v>
      </c>
      <c r="S4" s="10" t="s">
        <v>269</v>
      </c>
      <c r="T4" s="10" t="s">
        <v>270</v>
      </c>
      <c r="U4" s="10" t="s">
        <v>271</v>
      </c>
      <c r="V4" s="10" t="s">
        <v>272</v>
      </c>
      <c r="W4" s="10" t="s">
        <v>273</v>
      </c>
      <c r="X4" s="10" t="s">
        <v>274</v>
      </c>
      <c r="Y4" s="10" t="s">
        <v>275</v>
      </c>
      <c r="Z4" s="10" t="s">
        <v>276</v>
      </c>
      <c r="AA4" s="10" t="s">
        <v>277</v>
      </c>
      <c r="AB4" s="10" t="s">
        <v>278</v>
      </c>
    </row>
    <row r="5" customFormat="false" ht="42" hidden="false" customHeight="true" outlineLevel="0" collapsed="false">
      <c r="B5" s="46" t="s">
        <v>85</v>
      </c>
      <c r="C5" s="19" t="s">
        <v>86</v>
      </c>
      <c r="D5" s="19" t="s">
        <v>87</v>
      </c>
      <c r="E5" s="19" t="s">
        <v>88</v>
      </c>
      <c r="F5" s="19"/>
      <c r="G5" s="19"/>
      <c r="H5" s="47" t="n">
        <v>0.03</v>
      </c>
      <c r="I5" s="47" t="n">
        <v>0.03</v>
      </c>
      <c r="J5" s="47" t="n">
        <v>0.03</v>
      </c>
      <c r="K5" s="19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9" t="s">
        <v>279</v>
      </c>
      <c r="Y5" s="19" t="s">
        <v>280</v>
      </c>
      <c r="Z5" s="19" t="s">
        <v>281</v>
      </c>
      <c r="AA5" s="19" t="s">
        <v>282</v>
      </c>
      <c r="AB5" s="19" t="s">
        <v>283</v>
      </c>
    </row>
    <row r="6" customFormat="false" ht="42" hidden="false" customHeight="true" outlineLevel="0" collapsed="false">
      <c r="B6" s="48" t="s">
        <v>90</v>
      </c>
      <c r="C6" s="29" t="s">
        <v>86</v>
      </c>
      <c r="D6" s="29" t="s">
        <v>91</v>
      </c>
      <c r="E6" s="29" t="s">
        <v>88</v>
      </c>
      <c r="F6" s="29"/>
      <c r="G6" s="29"/>
      <c r="H6" s="49" t="n">
        <v>0.03</v>
      </c>
      <c r="I6" s="49" t="n">
        <v>0.04</v>
      </c>
      <c r="J6" s="49" t="n">
        <v>0.04</v>
      </c>
      <c r="K6" s="29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9" t="s">
        <v>284</v>
      </c>
      <c r="Y6" s="29" t="s">
        <v>285</v>
      </c>
      <c r="Z6" s="29" t="s">
        <v>286</v>
      </c>
      <c r="AA6" s="29" t="s">
        <v>287</v>
      </c>
      <c r="AB6" s="29" t="s">
        <v>288</v>
      </c>
    </row>
    <row r="7" customFormat="false" ht="42" hidden="false" customHeight="true" outlineLevel="0" collapsed="false">
      <c r="B7" s="46" t="s">
        <v>92</v>
      </c>
      <c r="C7" s="19" t="s">
        <v>86</v>
      </c>
      <c r="D7" s="19" t="s">
        <v>93</v>
      </c>
      <c r="E7" s="19" t="s">
        <v>88</v>
      </c>
      <c r="F7" s="19"/>
      <c r="G7" s="19"/>
      <c r="H7" s="47" t="n">
        <v>0.02</v>
      </c>
      <c r="I7" s="47" t="n">
        <v>0.03</v>
      </c>
      <c r="J7" s="47" t="n">
        <v>0.03</v>
      </c>
      <c r="K7" s="19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9" t="s">
        <v>289</v>
      </c>
      <c r="Y7" s="19" t="s">
        <v>290</v>
      </c>
      <c r="Z7" s="19" t="s">
        <v>291</v>
      </c>
      <c r="AA7" s="19" t="s">
        <v>292</v>
      </c>
      <c r="AB7" s="19" t="s">
        <v>293</v>
      </c>
    </row>
    <row r="8" customFormat="false" ht="42" hidden="false" customHeight="true" outlineLevel="0" collapsed="false">
      <c r="B8" s="48" t="s">
        <v>94</v>
      </c>
      <c r="C8" s="29" t="s">
        <v>86</v>
      </c>
      <c r="D8" s="29" t="s">
        <v>95</v>
      </c>
      <c r="E8" s="29" t="s">
        <v>96</v>
      </c>
      <c r="F8" s="29" t="s">
        <v>97</v>
      </c>
      <c r="G8" s="29" t="s">
        <v>98</v>
      </c>
      <c r="H8" s="49" t="n">
        <v>0.04</v>
      </c>
      <c r="I8" s="49" t="n">
        <v>0.05</v>
      </c>
      <c r="J8" s="49" t="n">
        <v>0.04</v>
      </c>
      <c r="K8" s="29" t="s">
        <v>294</v>
      </c>
      <c r="L8" s="28" t="n">
        <v>35</v>
      </c>
      <c r="M8" s="28" t="n">
        <v>25</v>
      </c>
      <c r="N8" s="28" t="n">
        <v>15</v>
      </c>
      <c r="O8" s="28" t="n">
        <v>5</v>
      </c>
      <c r="P8" s="28" t="n">
        <v>35</v>
      </c>
      <c r="Q8" s="28" t="n">
        <v>25</v>
      </c>
      <c r="R8" s="28" t="n">
        <v>15</v>
      </c>
      <c r="S8" s="28" t="n">
        <v>8</v>
      </c>
      <c r="T8" s="28" t="n">
        <v>30</v>
      </c>
      <c r="U8" s="28" t="n">
        <v>20</v>
      </c>
      <c r="V8" s="28" t="n">
        <v>12</v>
      </c>
      <c r="W8" s="28" t="n">
        <v>5</v>
      </c>
      <c r="X8" s="29"/>
      <c r="Y8" s="29"/>
      <c r="Z8" s="29"/>
      <c r="AA8" s="29"/>
      <c r="AB8" s="29"/>
    </row>
    <row r="9" customFormat="false" ht="42" hidden="false" customHeight="true" outlineLevel="0" collapsed="false">
      <c r="B9" s="46" t="s">
        <v>99</v>
      </c>
      <c r="C9" s="19" t="s">
        <v>86</v>
      </c>
      <c r="D9" s="19" t="s">
        <v>100</v>
      </c>
      <c r="E9" s="19" t="s">
        <v>96</v>
      </c>
      <c r="F9" s="19" t="s">
        <v>101</v>
      </c>
      <c r="G9" s="19" t="s">
        <v>98</v>
      </c>
      <c r="H9" s="47" t="n">
        <v>0.04</v>
      </c>
      <c r="I9" s="47" t="n">
        <v>0.05</v>
      </c>
      <c r="J9" s="47" t="n">
        <v>0.05</v>
      </c>
      <c r="K9" s="19" t="s">
        <v>295</v>
      </c>
      <c r="L9" s="18" t="n">
        <v>1</v>
      </c>
      <c r="M9" s="18" t="n">
        <v>2</v>
      </c>
      <c r="N9" s="18" t="n">
        <v>3.5</v>
      </c>
      <c r="O9" s="18" t="n">
        <v>5</v>
      </c>
      <c r="P9" s="18" t="n">
        <v>1.5</v>
      </c>
      <c r="Q9" s="18" t="n">
        <v>2.5</v>
      </c>
      <c r="R9" s="18" t="n">
        <v>3.5</v>
      </c>
      <c r="S9" s="18" t="n">
        <v>5</v>
      </c>
      <c r="T9" s="18" t="n">
        <v>1.5</v>
      </c>
      <c r="U9" s="18" t="n">
        <v>2.5</v>
      </c>
      <c r="V9" s="18" t="n">
        <v>3.5</v>
      </c>
      <c r="W9" s="18" t="n">
        <v>4.5</v>
      </c>
      <c r="X9" s="19"/>
      <c r="Y9" s="19"/>
      <c r="Z9" s="19"/>
      <c r="AA9" s="19"/>
      <c r="AB9" s="19"/>
    </row>
    <row r="10" customFormat="false" ht="42" hidden="false" customHeight="true" outlineLevel="0" collapsed="false">
      <c r="B10" s="48" t="s">
        <v>102</v>
      </c>
      <c r="C10" s="29" t="s">
        <v>86</v>
      </c>
      <c r="D10" s="29" t="s">
        <v>103</v>
      </c>
      <c r="E10" s="29" t="s">
        <v>96</v>
      </c>
      <c r="F10" s="29" t="s">
        <v>101</v>
      </c>
      <c r="G10" s="29"/>
      <c r="H10" s="49" t="n">
        <v>0.04</v>
      </c>
      <c r="I10" s="49" t="n">
        <v>0.04</v>
      </c>
      <c r="J10" s="49" t="n">
        <v>0.03</v>
      </c>
      <c r="K10" s="29" t="s">
        <v>294</v>
      </c>
      <c r="L10" s="28" t="n">
        <v>1.5</v>
      </c>
      <c r="M10" s="28" t="n">
        <v>1.25</v>
      </c>
      <c r="N10" s="28" t="n">
        <v>1</v>
      </c>
      <c r="O10" s="28" t="n">
        <v>0.8</v>
      </c>
      <c r="P10" s="28" t="n">
        <v>1.5</v>
      </c>
      <c r="Q10" s="28" t="n">
        <v>1.25</v>
      </c>
      <c r="R10" s="28" t="n">
        <v>1</v>
      </c>
      <c r="S10" s="28" t="n">
        <v>0.8</v>
      </c>
      <c r="T10" s="28" t="n">
        <v>1.4</v>
      </c>
      <c r="U10" s="28" t="n">
        <v>1.2</v>
      </c>
      <c r="V10" s="28" t="n">
        <v>1</v>
      </c>
      <c r="W10" s="28" t="n">
        <v>0.85</v>
      </c>
      <c r="X10" s="29"/>
      <c r="Y10" s="29"/>
      <c r="Z10" s="29"/>
      <c r="AA10" s="29"/>
      <c r="AB10" s="29"/>
    </row>
    <row r="11" customFormat="false" ht="42" hidden="false" customHeight="true" outlineLevel="0" collapsed="false">
      <c r="B11" s="46" t="s">
        <v>104</v>
      </c>
      <c r="C11" s="19" t="s">
        <v>86</v>
      </c>
      <c r="D11" s="19" t="s">
        <v>105</v>
      </c>
      <c r="E11" s="19" t="s">
        <v>88</v>
      </c>
      <c r="F11" s="19"/>
      <c r="G11" s="19"/>
      <c r="H11" s="47" t="n">
        <v>0.03</v>
      </c>
      <c r="I11" s="47" t="n">
        <v>0.03</v>
      </c>
      <c r="J11" s="47" t="n">
        <v>0.03</v>
      </c>
      <c r="K11" s="1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9" t="s">
        <v>296</v>
      </c>
      <c r="Y11" s="19" t="s">
        <v>297</v>
      </c>
      <c r="Z11" s="19" t="s">
        <v>298</v>
      </c>
      <c r="AA11" s="19" t="s">
        <v>299</v>
      </c>
      <c r="AB11" s="19" t="s">
        <v>300</v>
      </c>
    </row>
    <row r="12" customFormat="false" ht="42" hidden="false" customHeight="true" outlineLevel="0" collapsed="false">
      <c r="B12" s="48" t="s">
        <v>106</v>
      </c>
      <c r="C12" s="29" t="s">
        <v>86</v>
      </c>
      <c r="D12" s="29" t="s">
        <v>107</v>
      </c>
      <c r="E12" s="29" t="s">
        <v>96</v>
      </c>
      <c r="F12" s="29" t="s">
        <v>97</v>
      </c>
      <c r="G12" s="29"/>
      <c r="H12" s="49" t="n">
        <v>0.02</v>
      </c>
      <c r="I12" s="49" t="n">
        <v>0.03</v>
      </c>
      <c r="J12" s="49" t="n">
        <v>0.05</v>
      </c>
      <c r="K12" s="29" t="s">
        <v>294</v>
      </c>
      <c r="L12" s="28" t="n">
        <v>90</v>
      </c>
      <c r="M12" s="28" t="n">
        <v>70</v>
      </c>
      <c r="N12" s="28" t="n">
        <v>50</v>
      </c>
      <c r="O12" s="28" t="n">
        <v>20</v>
      </c>
      <c r="P12" s="28" t="n">
        <v>90</v>
      </c>
      <c r="Q12" s="28" t="n">
        <v>70</v>
      </c>
      <c r="R12" s="28" t="n">
        <v>50</v>
      </c>
      <c r="S12" s="28" t="n">
        <v>20</v>
      </c>
      <c r="T12" s="28" t="n">
        <v>90</v>
      </c>
      <c r="U12" s="28" t="n">
        <v>70</v>
      </c>
      <c r="V12" s="28" t="n">
        <v>50</v>
      </c>
      <c r="W12" s="28" t="n">
        <v>20</v>
      </c>
      <c r="X12" s="29"/>
      <c r="Y12" s="29"/>
      <c r="Z12" s="29"/>
      <c r="AA12" s="29"/>
      <c r="AB12" s="29"/>
    </row>
    <row r="13" customFormat="false" ht="42" hidden="false" customHeight="true" outlineLevel="0" collapsed="false">
      <c r="B13" s="46" t="s">
        <v>108</v>
      </c>
      <c r="C13" s="19" t="s">
        <v>109</v>
      </c>
      <c r="D13" s="19" t="s">
        <v>110</v>
      </c>
      <c r="E13" s="19" t="s">
        <v>96</v>
      </c>
      <c r="F13" s="19" t="s">
        <v>101</v>
      </c>
      <c r="G13" s="19"/>
      <c r="H13" s="47" t="n">
        <v>0.015</v>
      </c>
      <c r="I13" s="47" t="n">
        <v>0.02</v>
      </c>
      <c r="J13" s="47" t="n">
        <v>0.03</v>
      </c>
      <c r="K13" s="19" t="s">
        <v>294</v>
      </c>
      <c r="L13" s="18" t="n">
        <v>5</v>
      </c>
      <c r="M13" s="18" t="n">
        <v>3</v>
      </c>
      <c r="N13" s="18" t="n">
        <v>2</v>
      </c>
      <c r="O13" s="18" t="n">
        <v>1</v>
      </c>
      <c r="P13" s="18" t="n">
        <v>5</v>
      </c>
      <c r="Q13" s="18" t="n">
        <v>3</v>
      </c>
      <c r="R13" s="18" t="n">
        <v>2</v>
      </c>
      <c r="S13" s="18" t="n">
        <v>1.2</v>
      </c>
      <c r="T13" s="18" t="n">
        <v>6</v>
      </c>
      <c r="U13" s="18" t="n">
        <v>4</v>
      </c>
      <c r="V13" s="18" t="n">
        <v>2.5</v>
      </c>
      <c r="W13" s="18" t="n">
        <v>1.5</v>
      </c>
      <c r="X13" s="19"/>
      <c r="Y13" s="19"/>
      <c r="Z13" s="19"/>
      <c r="AA13" s="19"/>
      <c r="AB13" s="19"/>
    </row>
    <row r="14" customFormat="false" ht="42" hidden="false" customHeight="true" outlineLevel="0" collapsed="false">
      <c r="B14" s="48" t="s">
        <v>111</v>
      </c>
      <c r="C14" s="29" t="s">
        <v>109</v>
      </c>
      <c r="D14" s="29" t="s">
        <v>112</v>
      </c>
      <c r="E14" s="29" t="s">
        <v>96</v>
      </c>
      <c r="F14" s="29" t="s">
        <v>101</v>
      </c>
      <c r="G14" s="29"/>
      <c r="H14" s="49" t="n">
        <v>0.03</v>
      </c>
      <c r="I14" s="49" t="n">
        <v>0.04</v>
      </c>
      <c r="J14" s="49" t="n">
        <v>0.05</v>
      </c>
      <c r="K14" s="29" t="s">
        <v>294</v>
      </c>
      <c r="L14" s="28" t="n">
        <v>1.5</v>
      </c>
      <c r="M14" s="28" t="n">
        <v>1.3</v>
      </c>
      <c r="N14" s="28" t="n">
        <v>1.15</v>
      </c>
      <c r="O14" s="28" t="n">
        <v>1</v>
      </c>
      <c r="P14" s="28" t="n">
        <v>1.6</v>
      </c>
      <c r="Q14" s="28" t="n">
        <v>1.35</v>
      </c>
      <c r="R14" s="28" t="n">
        <v>1.2</v>
      </c>
      <c r="S14" s="28" t="n">
        <v>1</v>
      </c>
      <c r="T14" s="28" t="n">
        <v>1.75</v>
      </c>
      <c r="U14" s="28" t="n">
        <v>1.4</v>
      </c>
      <c r="V14" s="28" t="n">
        <v>1.2</v>
      </c>
      <c r="W14" s="28" t="n">
        <v>1</v>
      </c>
      <c r="X14" s="29"/>
      <c r="Y14" s="29"/>
      <c r="Z14" s="29"/>
      <c r="AA14" s="29"/>
      <c r="AB14" s="29"/>
    </row>
    <row r="15" customFormat="false" ht="42" hidden="false" customHeight="true" outlineLevel="0" collapsed="false">
      <c r="B15" s="46" t="s">
        <v>113</v>
      </c>
      <c r="C15" s="19" t="s">
        <v>109</v>
      </c>
      <c r="D15" s="19" t="s">
        <v>114</v>
      </c>
      <c r="E15" s="19" t="s">
        <v>96</v>
      </c>
      <c r="F15" s="19" t="s">
        <v>97</v>
      </c>
      <c r="G15" s="19"/>
      <c r="H15" s="47" t="n">
        <v>0.01</v>
      </c>
      <c r="I15" s="47" t="n">
        <v>0.02</v>
      </c>
      <c r="J15" s="47" t="n">
        <v>0.03</v>
      </c>
      <c r="K15" s="19" t="s">
        <v>294</v>
      </c>
      <c r="L15" s="18" t="n">
        <v>20</v>
      </c>
      <c r="M15" s="18" t="n">
        <v>12</v>
      </c>
      <c r="N15" s="18" t="n">
        <v>5</v>
      </c>
      <c r="O15" s="18" t="n">
        <v>0</v>
      </c>
      <c r="P15" s="18" t="n">
        <v>20</v>
      </c>
      <c r="Q15" s="18" t="n">
        <v>12</v>
      </c>
      <c r="R15" s="18" t="n">
        <v>5</v>
      </c>
      <c r="S15" s="18" t="n">
        <v>0</v>
      </c>
      <c r="T15" s="18" t="n">
        <v>20</v>
      </c>
      <c r="U15" s="18" t="n">
        <v>12</v>
      </c>
      <c r="V15" s="18" t="n">
        <v>5</v>
      </c>
      <c r="W15" s="18" t="n">
        <v>0</v>
      </c>
      <c r="X15" s="19"/>
      <c r="Y15" s="19"/>
      <c r="Z15" s="19"/>
      <c r="AA15" s="19"/>
      <c r="AB15" s="19"/>
    </row>
    <row r="16" customFormat="false" ht="42" hidden="false" customHeight="true" outlineLevel="0" collapsed="false">
      <c r="B16" s="48" t="s">
        <v>115</v>
      </c>
      <c r="C16" s="29" t="s">
        <v>109</v>
      </c>
      <c r="D16" s="29" t="s">
        <v>116</v>
      </c>
      <c r="E16" s="29" t="s">
        <v>88</v>
      </c>
      <c r="F16" s="29"/>
      <c r="G16" s="29"/>
      <c r="H16" s="49" t="n">
        <v>0.015</v>
      </c>
      <c r="I16" s="49" t="n">
        <v>0.02</v>
      </c>
      <c r="J16" s="49" t="n">
        <v>0.03</v>
      </c>
      <c r="K16" s="29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9" t="s">
        <v>301</v>
      </c>
      <c r="Y16" s="29" t="s">
        <v>302</v>
      </c>
      <c r="Z16" s="29" t="s">
        <v>303</v>
      </c>
      <c r="AA16" s="29" t="s">
        <v>304</v>
      </c>
      <c r="AB16" s="29" t="s">
        <v>305</v>
      </c>
    </row>
    <row r="17" customFormat="false" ht="42" hidden="false" customHeight="true" outlineLevel="0" collapsed="false">
      <c r="B17" s="46" t="s">
        <v>117</v>
      </c>
      <c r="C17" s="19" t="s">
        <v>109</v>
      </c>
      <c r="D17" s="19" t="s">
        <v>118</v>
      </c>
      <c r="E17" s="19" t="s">
        <v>96</v>
      </c>
      <c r="F17" s="19" t="s">
        <v>101</v>
      </c>
      <c r="G17" s="19"/>
      <c r="H17" s="47" t="n">
        <v>0.02</v>
      </c>
      <c r="I17" s="47" t="n">
        <v>0.03</v>
      </c>
      <c r="J17" s="47" t="n">
        <v>0.04</v>
      </c>
      <c r="K17" s="19" t="s">
        <v>294</v>
      </c>
      <c r="L17" s="18" t="n">
        <v>1.4</v>
      </c>
      <c r="M17" s="18" t="n">
        <v>1.2</v>
      </c>
      <c r="N17" s="18" t="n">
        <v>1</v>
      </c>
      <c r="O17" s="18" t="n">
        <v>0.8</v>
      </c>
      <c r="P17" s="18" t="n">
        <v>1.4</v>
      </c>
      <c r="Q17" s="18" t="n">
        <v>1.2</v>
      </c>
      <c r="R17" s="18" t="n">
        <v>1</v>
      </c>
      <c r="S17" s="18" t="n">
        <v>0.8</v>
      </c>
      <c r="T17" s="18" t="n">
        <v>1.4</v>
      </c>
      <c r="U17" s="18" t="n">
        <v>1.2</v>
      </c>
      <c r="V17" s="18" t="n">
        <v>1</v>
      </c>
      <c r="W17" s="18" t="n">
        <v>0.8</v>
      </c>
      <c r="X17" s="19"/>
      <c r="Y17" s="19"/>
      <c r="Z17" s="19"/>
      <c r="AA17" s="19"/>
      <c r="AB17" s="19"/>
    </row>
    <row r="18" customFormat="false" ht="42" hidden="false" customHeight="true" outlineLevel="0" collapsed="false">
      <c r="B18" s="48" t="s">
        <v>119</v>
      </c>
      <c r="C18" s="29" t="s">
        <v>109</v>
      </c>
      <c r="D18" s="29" t="s">
        <v>120</v>
      </c>
      <c r="E18" s="29" t="s">
        <v>88</v>
      </c>
      <c r="F18" s="29"/>
      <c r="G18" s="29"/>
      <c r="H18" s="49" t="n">
        <v>0.01</v>
      </c>
      <c r="I18" s="49" t="n">
        <v>0.02</v>
      </c>
      <c r="J18" s="49" t="n">
        <v>0.02</v>
      </c>
      <c r="K18" s="29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9" t="s">
        <v>306</v>
      </c>
      <c r="Y18" s="29" t="s">
        <v>307</v>
      </c>
      <c r="Z18" s="29" t="s">
        <v>308</v>
      </c>
      <c r="AA18" s="29" t="s">
        <v>309</v>
      </c>
      <c r="AB18" s="29" t="s">
        <v>310</v>
      </c>
    </row>
    <row r="19" customFormat="false" ht="42" hidden="false" customHeight="true" outlineLevel="0" collapsed="false">
      <c r="B19" s="46" t="s">
        <v>121</v>
      </c>
      <c r="C19" s="19" t="s">
        <v>122</v>
      </c>
      <c r="D19" s="19" t="s">
        <v>123</v>
      </c>
      <c r="E19" s="19" t="s">
        <v>96</v>
      </c>
      <c r="F19" s="19" t="s">
        <v>124</v>
      </c>
      <c r="G19" s="19" t="s">
        <v>98</v>
      </c>
      <c r="H19" s="47" t="n">
        <v>0.06</v>
      </c>
      <c r="I19" s="47" t="n">
        <v>0.05</v>
      </c>
      <c r="J19" s="47" t="n">
        <v>0.025</v>
      </c>
      <c r="K19" s="19" t="s">
        <v>295</v>
      </c>
      <c r="L19" s="18" t="n">
        <v>0</v>
      </c>
      <c r="M19" s="18" t="n">
        <v>7</v>
      </c>
      <c r="N19" s="18" t="n">
        <v>30</v>
      </c>
      <c r="O19" s="18" t="n">
        <v>60</v>
      </c>
      <c r="P19" s="18" t="n">
        <v>0</v>
      </c>
      <c r="Q19" s="18" t="n">
        <v>7</v>
      </c>
      <c r="R19" s="18" t="n">
        <v>30</v>
      </c>
      <c r="S19" s="18" t="n">
        <v>60</v>
      </c>
      <c r="T19" s="18" t="n">
        <v>0</v>
      </c>
      <c r="U19" s="18" t="n">
        <v>7</v>
      </c>
      <c r="V19" s="18" t="n">
        <v>30</v>
      </c>
      <c r="W19" s="18" t="n">
        <v>60</v>
      </c>
      <c r="X19" s="19"/>
      <c r="Y19" s="19"/>
      <c r="Z19" s="19"/>
      <c r="AA19" s="19"/>
      <c r="AB19" s="19"/>
    </row>
    <row r="20" customFormat="false" ht="42" hidden="false" customHeight="true" outlineLevel="0" collapsed="false">
      <c r="B20" s="48" t="s">
        <v>125</v>
      </c>
      <c r="C20" s="29" t="s">
        <v>122</v>
      </c>
      <c r="D20" s="29" t="s">
        <v>126</v>
      </c>
      <c r="E20" s="29" t="s">
        <v>88</v>
      </c>
      <c r="F20" s="29"/>
      <c r="G20" s="29"/>
      <c r="H20" s="49" t="n">
        <v>0.04</v>
      </c>
      <c r="I20" s="49" t="n">
        <v>0.03</v>
      </c>
      <c r="J20" s="49" t="n">
        <v>0.015</v>
      </c>
      <c r="K20" s="29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 t="s">
        <v>311</v>
      </c>
      <c r="Y20" s="29" t="s">
        <v>312</v>
      </c>
      <c r="Z20" s="29" t="s">
        <v>313</v>
      </c>
      <c r="AA20" s="29" t="s">
        <v>314</v>
      </c>
      <c r="AB20" s="29" t="s">
        <v>315</v>
      </c>
    </row>
    <row r="21" customFormat="false" ht="42" hidden="false" customHeight="true" outlineLevel="0" collapsed="false">
      <c r="B21" s="46" t="s">
        <v>127</v>
      </c>
      <c r="C21" s="19" t="s">
        <v>122</v>
      </c>
      <c r="D21" s="19" t="s">
        <v>128</v>
      </c>
      <c r="E21" s="19" t="s">
        <v>88</v>
      </c>
      <c r="F21" s="19"/>
      <c r="G21" s="19"/>
      <c r="H21" s="47" t="n">
        <v>0.03</v>
      </c>
      <c r="I21" s="47" t="n">
        <v>0.02</v>
      </c>
      <c r="J21" s="47" t="n">
        <v>0.01</v>
      </c>
      <c r="K21" s="1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9" t="s">
        <v>316</v>
      </c>
      <c r="Y21" s="19" t="s">
        <v>317</v>
      </c>
      <c r="Z21" s="19" t="s">
        <v>318</v>
      </c>
      <c r="AA21" s="19" t="s">
        <v>319</v>
      </c>
      <c r="AB21" s="19" t="s">
        <v>320</v>
      </c>
    </row>
    <row r="22" customFormat="false" ht="42" hidden="false" customHeight="true" outlineLevel="0" collapsed="false">
      <c r="B22" s="48" t="s">
        <v>129</v>
      </c>
      <c r="C22" s="29" t="s">
        <v>122</v>
      </c>
      <c r="D22" s="29" t="s">
        <v>130</v>
      </c>
      <c r="E22" s="29" t="s">
        <v>96</v>
      </c>
      <c r="F22" s="29" t="s">
        <v>97</v>
      </c>
      <c r="G22" s="29"/>
      <c r="H22" s="49" t="n">
        <v>0.04</v>
      </c>
      <c r="I22" s="49" t="n">
        <v>0.03</v>
      </c>
      <c r="J22" s="49" t="n">
        <v>0.015</v>
      </c>
      <c r="K22" s="29" t="s">
        <v>294</v>
      </c>
      <c r="L22" s="28" t="n">
        <v>110</v>
      </c>
      <c r="M22" s="28" t="n">
        <v>90</v>
      </c>
      <c r="N22" s="28" t="n">
        <v>70</v>
      </c>
      <c r="O22" s="28" t="n">
        <v>50</v>
      </c>
      <c r="P22" s="28" t="n">
        <v>110</v>
      </c>
      <c r="Q22" s="28" t="n">
        <v>90</v>
      </c>
      <c r="R22" s="28" t="n">
        <v>70</v>
      </c>
      <c r="S22" s="28" t="n">
        <v>50</v>
      </c>
      <c r="T22" s="28" t="n">
        <v>110</v>
      </c>
      <c r="U22" s="28" t="n">
        <v>90</v>
      </c>
      <c r="V22" s="28" t="n">
        <v>70</v>
      </c>
      <c r="W22" s="28" t="n">
        <v>50</v>
      </c>
      <c r="X22" s="29"/>
      <c r="Y22" s="29"/>
      <c r="Z22" s="29"/>
      <c r="AA22" s="29"/>
      <c r="AB22" s="29"/>
    </row>
    <row r="23" customFormat="false" ht="42" hidden="false" customHeight="true" outlineLevel="0" collapsed="false">
      <c r="B23" s="46" t="s">
        <v>131</v>
      </c>
      <c r="C23" s="19" t="s">
        <v>122</v>
      </c>
      <c r="D23" s="19" t="s">
        <v>132</v>
      </c>
      <c r="E23" s="19" t="s">
        <v>88</v>
      </c>
      <c r="F23" s="19"/>
      <c r="G23" s="19"/>
      <c r="H23" s="47" t="n">
        <v>0.04</v>
      </c>
      <c r="I23" s="47" t="n">
        <v>0.03</v>
      </c>
      <c r="J23" s="47" t="n">
        <v>0.01</v>
      </c>
      <c r="K23" s="19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9" t="s">
        <v>321</v>
      </c>
      <c r="Y23" s="19" t="s">
        <v>322</v>
      </c>
      <c r="Z23" s="19" t="s">
        <v>323</v>
      </c>
      <c r="AA23" s="19" t="s">
        <v>324</v>
      </c>
      <c r="AB23" s="19" t="s">
        <v>325</v>
      </c>
    </row>
    <row r="24" customFormat="false" ht="42" hidden="false" customHeight="true" outlineLevel="0" collapsed="false">
      <c r="B24" s="48" t="s">
        <v>133</v>
      </c>
      <c r="C24" s="29" t="s">
        <v>122</v>
      </c>
      <c r="D24" s="29" t="s">
        <v>134</v>
      </c>
      <c r="E24" s="29" t="s">
        <v>88</v>
      </c>
      <c r="F24" s="29"/>
      <c r="G24" s="29"/>
      <c r="H24" s="49" t="n">
        <v>0.02</v>
      </c>
      <c r="I24" s="49" t="n">
        <v>0.02</v>
      </c>
      <c r="J24" s="49" t="n">
        <v>0.015</v>
      </c>
      <c r="K24" s="29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9" t="s">
        <v>326</v>
      </c>
      <c r="Y24" s="29" t="s">
        <v>327</v>
      </c>
      <c r="Z24" s="29" t="s">
        <v>328</v>
      </c>
      <c r="AA24" s="29" t="s">
        <v>329</v>
      </c>
      <c r="AB24" s="29" t="s">
        <v>330</v>
      </c>
    </row>
    <row r="25" customFormat="false" ht="42" hidden="false" customHeight="true" outlineLevel="0" collapsed="false">
      <c r="B25" s="46" t="s">
        <v>135</v>
      </c>
      <c r="C25" s="19" t="s">
        <v>122</v>
      </c>
      <c r="D25" s="19" t="s">
        <v>136</v>
      </c>
      <c r="E25" s="19" t="s">
        <v>88</v>
      </c>
      <c r="F25" s="19"/>
      <c r="G25" s="19"/>
      <c r="H25" s="47" t="n">
        <v>0.02</v>
      </c>
      <c r="I25" s="47" t="n">
        <v>0.02</v>
      </c>
      <c r="J25" s="47" t="n">
        <v>0.01</v>
      </c>
      <c r="K25" s="19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9" t="s">
        <v>331</v>
      </c>
      <c r="Y25" s="19" t="s">
        <v>332</v>
      </c>
      <c r="Z25" s="19" t="s">
        <v>333</v>
      </c>
      <c r="AA25" s="19" t="s">
        <v>334</v>
      </c>
      <c r="AB25" s="19" t="s">
        <v>335</v>
      </c>
    </row>
    <row r="26" customFormat="false" ht="42" hidden="false" customHeight="true" outlineLevel="0" collapsed="false">
      <c r="B26" s="48" t="s">
        <v>137</v>
      </c>
      <c r="C26" s="29" t="s">
        <v>138</v>
      </c>
      <c r="D26" s="29" t="s">
        <v>139</v>
      </c>
      <c r="E26" s="29" t="s">
        <v>88</v>
      </c>
      <c r="F26" s="29"/>
      <c r="G26" s="29"/>
      <c r="H26" s="49" t="n">
        <v>0.03</v>
      </c>
      <c r="I26" s="49" t="n">
        <v>0.03</v>
      </c>
      <c r="J26" s="49" t="n">
        <v>0.03</v>
      </c>
      <c r="K26" s="29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9" t="s">
        <v>336</v>
      </c>
      <c r="Y26" s="29" t="s">
        <v>337</v>
      </c>
      <c r="Z26" s="29" t="s">
        <v>338</v>
      </c>
      <c r="AA26" s="29" t="s">
        <v>339</v>
      </c>
      <c r="AB26" s="29" t="s">
        <v>340</v>
      </c>
    </row>
    <row r="27" customFormat="false" ht="42" hidden="false" customHeight="true" outlineLevel="0" collapsed="false">
      <c r="B27" s="46" t="s">
        <v>140</v>
      </c>
      <c r="C27" s="19" t="s">
        <v>138</v>
      </c>
      <c r="D27" s="19" t="s">
        <v>141</v>
      </c>
      <c r="E27" s="19" t="s">
        <v>88</v>
      </c>
      <c r="F27" s="19"/>
      <c r="G27" s="19"/>
      <c r="H27" s="47" t="n">
        <v>0.02</v>
      </c>
      <c r="I27" s="47" t="n">
        <v>0.025</v>
      </c>
      <c r="J27" s="47" t="n">
        <v>0.03</v>
      </c>
      <c r="K27" s="19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9" t="s">
        <v>341</v>
      </c>
      <c r="Y27" s="19" t="s">
        <v>342</v>
      </c>
      <c r="Z27" s="19" t="s">
        <v>343</v>
      </c>
      <c r="AA27" s="19" t="s">
        <v>344</v>
      </c>
      <c r="AB27" s="19" t="s">
        <v>345</v>
      </c>
    </row>
    <row r="28" customFormat="false" ht="42" hidden="false" customHeight="true" outlineLevel="0" collapsed="false">
      <c r="B28" s="48" t="s">
        <v>142</v>
      </c>
      <c r="C28" s="29" t="s">
        <v>138</v>
      </c>
      <c r="D28" s="29" t="s">
        <v>143</v>
      </c>
      <c r="E28" s="29" t="s">
        <v>96</v>
      </c>
      <c r="F28" s="29" t="s">
        <v>97</v>
      </c>
      <c r="G28" s="29"/>
      <c r="H28" s="49" t="n">
        <v>0.025</v>
      </c>
      <c r="I28" s="49" t="n">
        <v>0.02</v>
      </c>
      <c r="J28" s="49" t="n">
        <v>0.015</v>
      </c>
      <c r="K28" s="29" t="s">
        <v>295</v>
      </c>
      <c r="L28" s="28" t="n">
        <v>15</v>
      </c>
      <c r="M28" s="28" t="n">
        <v>25</v>
      </c>
      <c r="N28" s="28" t="n">
        <v>35</v>
      </c>
      <c r="O28" s="28" t="n">
        <v>50</v>
      </c>
      <c r="P28" s="28" t="n">
        <v>10</v>
      </c>
      <c r="Q28" s="28" t="n">
        <v>20</v>
      </c>
      <c r="R28" s="28" t="n">
        <v>30</v>
      </c>
      <c r="S28" s="28" t="n">
        <v>45</v>
      </c>
      <c r="T28" s="28" t="n">
        <v>10</v>
      </c>
      <c r="U28" s="28" t="n">
        <v>15</v>
      </c>
      <c r="V28" s="28" t="n">
        <v>25</v>
      </c>
      <c r="W28" s="28" t="n">
        <v>40</v>
      </c>
      <c r="X28" s="29"/>
      <c r="Y28" s="29"/>
      <c r="Z28" s="29"/>
      <c r="AA28" s="29"/>
      <c r="AB28" s="29"/>
    </row>
    <row r="29" customFormat="false" ht="42" hidden="false" customHeight="true" outlineLevel="0" collapsed="false">
      <c r="B29" s="46" t="s">
        <v>144</v>
      </c>
      <c r="C29" s="19" t="s">
        <v>138</v>
      </c>
      <c r="D29" s="19" t="s">
        <v>145</v>
      </c>
      <c r="E29" s="19" t="s">
        <v>96</v>
      </c>
      <c r="F29" s="19" t="s">
        <v>97</v>
      </c>
      <c r="G29" s="19"/>
      <c r="H29" s="47" t="n">
        <v>0.02</v>
      </c>
      <c r="I29" s="47" t="n">
        <v>0.015</v>
      </c>
      <c r="J29" s="47" t="n">
        <v>0.015</v>
      </c>
      <c r="K29" s="19" t="s">
        <v>295</v>
      </c>
      <c r="L29" s="18" t="n">
        <v>15</v>
      </c>
      <c r="M29" s="18" t="n">
        <v>25</v>
      </c>
      <c r="N29" s="18" t="n">
        <v>40</v>
      </c>
      <c r="O29" s="18" t="n">
        <v>60</v>
      </c>
      <c r="P29" s="18" t="n">
        <v>15</v>
      </c>
      <c r="Q29" s="18" t="n">
        <v>25</v>
      </c>
      <c r="R29" s="18" t="n">
        <v>40</v>
      </c>
      <c r="S29" s="18" t="n">
        <v>60</v>
      </c>
      <c r="T29" s="18" t="n">
        <v>15</v>
      </c>
      <c r="U29" s="18" t="n">
        <v>25</v>
      </c>
      <c r="V29" s="18" t="n">
        <v>40</v>
      </c>
      <c r="W29" s="18" t="n">
        <v>60</v>
      </c>
      <c r="X29" s="19"/>
      <c r="Y29" s="19"/>
      <c r="Z29" s="19"/>
      <c r="AA29" s="19"/>
      <c r="AB29" s="19"/>
    </row>
    <row r="30" customFormat="false" ht="42" hidden="false" customHeight="true" outlineLevel="0" collapsed="false">
      <c r="B30" s="48" t="s">
        <v>146</v>
      </c>
      <c r="C30" s="29" t="s">
        <v>138</v>
      </c>
      <c r="D30" s="29" t="s">
        <v>147</v>
      </c>
      <c r="E30" s="29" t="s">
        <v>88</v>
      </c>
      <c r="F30" s="29"/>
      <c r="G30" s="29"/>
      <c r="H30" s="49" t="n">
        <v>0.02</v>
      </c>
      <c r="I30" s="49" t="n">
        <v>0.02</v>
      </c>
      <c r="J30" s="49" t="n">
        <v>0.02</v>
      </c>
      <c r="K30" s="29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9" t="s">
        <v>346</v>
      </c>
      <c r="Y30" s="29" t="s">
        <v>347</v>
      </c>
      <c r="Z30" s="29" t="s">
        <v>348</v>
      </c>
      <c r="AA30" s="29" t="s">
        <v>349</v>
      </c>
      <c r="AB30" s="29" t="s">
        <v>350</v>
      </c>
    </row>
    <row r="31" customFormat="false" ht="42" hidden="false" customHeight="true" outlineLevel="0" collapsed="false">
      <c r="B31" s="46" t="s">
        <v>148</v>
      </c>
      <c r="C31" s="19" t="s">
        <v>138</v>
      </c>
      <c r="D31" s="19" t="s">
        <v>149</v>
      </c>
      <c r="E31" s="19" t="s">
        <v>88</v>
      </c>
      <c r="F31" s="19"/>
      <c r="G31" s="19"/>
      <c r="H31" s="47" t="n">
        <v>0.01</v>
      </c>
      <c r="I31" s="47" t="n">
        <v>0.015</v>
      </c>
      <c r="J31" s="47" t="n">
        <v>0.015</v>
      </c>
      <c r="K31" s="19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9" t="s">
        <v>351</v>
      </c>
      <c r="Y31" s="19" t="s">
        <v>352</v>
      </c>
      <c r="Z31" s="19" t="s">
        <v>353</v>
      </c>
      <c r="AA31" s="19" t="s">
        <v>354</v>
      </c>
      <c r="AB31" s="19" t="s">
        <v>355</v>
      </c>
    </row>
    <row r="32" customFormat="false" ht="42" hidden="false" customHeight="true" outlineLevel="0" collapsed="false">
      <c r="B32" s="48" t="s">
        <v>150</v>
      </c>
      <c r="C32" s="29" t="s">
        <v>138</v>
      </c>
      <c r="D32" s="29" t="s">
        <v>151</v>
      </c>
      <c r="E32" s="29" t="s">
        <v>88</v>
      </c>
      <c r="F32" s="29"/>
      <c r="G32" s="29"/>
      <c r="H32" s="49" t="n">
        <v>0.015</v>
      </c>
      <c r="I32" s="49" t="n">
        <v>0.015</v>
      </c>
      <c r="J32" s="49" t="n">
        <v>0.015</v>
      </c>
      <c r="K32" s="29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9" t="s">
        <v>356</v>
      </c>
      <c r="Y32" s="29" t="s">
        <v>357</v>
      </c>
      <c r="Z32" s="29" t="s">
        <v>358</v>
      </c>
      <c r="AA32" s="29" t="s">
        <v>359</v>
      </c>
      <c r="AB32" s="29" t="s">
        <v>360</v>
      </c>
    </row>
    <row r="33" customFormat="false" ht="42" hidden="false" customHeight="true" outlineLevel="0" collapsed="false">
      <c r="B33" s="46" t="s">
        <v>152</v>
      </c>
      <c r="C33" s="19" t="s">
        <v>138</v>
      </c>
      <c r="D33" s="19" t="s">
        <v>153</v>
      </c>
      <c r="E33" s="19" t="s">
        <v>88</v>
      </c>
      <c r="F33" s="19"/>
      <c r="G33" s="19"/>
      <c r="H33" s="47" t="n">
        <v>0.01</v>
      </c>
      <c r="I33" s="47" t="n">
        <v>0.01</v>
      </c>
      <c r="J33" s="47" t="n">
        <v>0.01</v>
      </c>
      <c r="K33" s="19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9" t="s">
        <v>361</v>
      </c>
      <c r="Y33" s="19" t="s">
        <v>362</v>
      </c>
      <c r="Z33" s="19" t="s">
        <v>363</v>
      </c>
      <c r="AA33" s="19" t="s">
        <v>364</v>
      </c>
      <c r="AB33" s="19" t="s">
        <v>365</v>
      </c>
    </row>
    <row r="34" customFormat="false" ht="42" hidden="false" customHeight="true" outlineLevel="0" collapsed="false">
      <c r="B34" s="48" t="s">
        <v>154</v>
      </c>
      <c r="C34" s="29" t="s">
        <v>155</v>
      </c>
      <c r="D34" s="29" t="s">
        <v>156</v>
      </c>
      <c r="E34" s="29" t="s">
        <v>88</v>
      </c>
      <c r="F34" s="29"/>
      <c r="G34" s="29"/>
      <c r="H34" s="49" t="n">
        <v>0.03</v>
      </c>
      <c r="I34" s="49" t="n">
        <v>0.025</v>
      </c>
      <c r="J34" s="49" t="n">
        <v>0.025</v>
      </c>
      <c r="K34" s="29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9" t="s">
        <v>366</v>
      </c>
      <c r="Y34" s="29" t="s">
        <v>367</v>
      </c>
      <c r="Z34" s="29" t="s">
        <v>368</v>
      </c>
      <c r="AA34" s="29" t="s">
        <v>369</v>
      </c>
      <c r="AB34" s="29" t="s">
        <v>370</v>
      </c>
    </row>
    <row r="35" customFormat="false" ht="42" hidden="false" customHeight="true" outlineLevel="0" collapsed="false">
      <c r="B35" s="46" t="s">
        <v>157</v>
      </c>
      <c r="C35" s="19" t="s">
        <v>155</v>
      </c>
      <c r="D35" s="19" t="s">
        <v>158</v>
      </c>
      <c r="E35" s="19" t="s">
        <v>88</v>
      </c>
      <c r="F35" s="19"/>
      <c r="G35" s="19"/>
      <c r="H35" s="47" t="n">
        <v>0.025</v>
      </c>
      <c r="I35" s="47" t="n">
        <v>0.015</v>
      </c>
      <c r="J35" s="47" t="n">
        <v>0.015</v>
      </c>
      <c r="K35" s="19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9" t="s">
        <v>371</v>
      </c>
      <c r="Y35" s="19" t="s">
        <v>372</v>
      </c>
      <c r="Z35" s="19" t="s">
        <v>373</v>
      </c>
      <c r="AA35" s="19" t="s">
        <v>374</v>
      </c>
      <c r="AB35" s="19" t="s">
        <v>375</v>
      </c>
    </row>
    <row r="36" customFormat="false" ht="42" hidden="false" customHeight="true" outlineLevel="0" collapsed="false">
      <c r="B36" s="48" t="s">
        <v>159</v>
      </c>
      <c r="C36" s="29" t="s">
        <v>155</v>
      </c>
      <c r="D36" s="29" t="s">
        <v>160</v>
      </c>
      <c r="E36" s="29" t="s">
        <v>88</v>
      </c>
      <c r="F36" s="29"/>
      <c r="G36" s="29"/>
      <c r="H36" s="49" t="n">
        <v>0.02</v>
      </c>
      <c r="I36" s="49" t="n">
        <v>0.02</v>
      </c>
      <c r="J36" s="49" t="n">
        <v>0.03</v>
      </c>
      <c r="K36" s="29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9" t="s">
        <v>376</v>
      </c>
      <c r="Y36" s="29" t="s">
        <v>377</v>
      </c>
      <c r="Z36" s="29" t="s">
        <v>378</v>
      </c>
      <c r="AA36" s="29" t="s">
        <v>379</v>
      </c>
      <c r="AB36" s="29" t="s">
        <v>380</v>
      </c>
    </row>
    <row r="37" customFormat="false" ht="42" hidden="false" customHeight="true" outlineLevel="0" collapsed="false">
      <c r="B37" s="46" t="s">
        <v>161</v>
      </c>
      <c r="C37" s="19" t="s">
        <v>155</v>
      </c>
      <c r="D37" s="19" t="s">
        <v>162</v>
      </c>
      <c r="E37" s="19" t="s">
        <v>88</v>
      </c>
      <c r="F37" s="19"/>
      <c r="G37" s="19"/>
      <c r="H37" s="47" t="n">
        <v>0.02</v>
      </c>
      <c r="I37" s="47" t="n">
        <v>0.015</v>
      </c>
      <c r="J37" s="47" t="n">
        <v>0.025</v>
      </c>
      <c r="K37" s="19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9" t="s">
        <v>381</v>
      </c>
      <c r="Y37" s="19" t="s">
        <v>382</v>
      </c>
      <c r="Z37" s="19" t="s">
        <v>383</v>
      </c>
      <c r="AA37" s="19" t="s">
        <v>384</v>
      </c>
      <c r="AB37" s="19" t="s">
        <v>385</v>
      </c>
    </row>
    <row r="38" customFormat="false" ht="42" hidden="false" customHeight="true" outlineLevel="0" collapsed="false">
      <c r="B38" s="48" t="s">
        <v>163</v>
      </c>
      <c r="C38" s="29" t="s">
        <v>155</v>
      </c>
      <c r="D38" s="29" t="s">
        <v>164</v>
      </c>
      <c r="E38" s="29" t="s">
        <v>88</v>
      </c>
      <c r="F38" s="29"/>
      <c r="G38" s="29"/>
      <c r="H38" s="49" t="n">
        <v>0.02</v>
      </c>
      <c r="I38" s="49" t="n">
        <v>0.015</v>
      </c>
      <c r="J38" s="49" t="n">
        <v>0.02</v>
      </c>
      <c r="K38" s="29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9" t="s">
        <v>386</v>
      </c>
      <c r="Y38" s="29" t="s">
        <v>387</v>
      </c>
      <c r="Z38" s="29" t="s">
        <v>388</v>
      </c>
      <c r="AA38" s="29" t="s">
        <v>389</v>
      </c>
      <c r="AB38" s="29" t="s">
        <v>390</v>
      </c>
    </row>
    <row r="39" customFormat="false" ht="42" hidden="false" customHeight="true" outlineLevel="0" collapsed="false">
      <c r="B39" s="46" t="s">
        <v>165</v>
      </c>
      <c r="C39" s="19" t="s">
        <v>155</v>
      </c>
      <c r="D39" s="19" t="s">
        <v>166</v>
      </c>
      <c r="E39" s="19" t="s">
        <v>88</v>
      </c>
      <c r="F39" s="19"/>
      <c r="G39" s="19"/>
      <c r="H39" s="47" t="n">
        <v>0.015</v>
      </c>
      <c r="I39" s="47" t="n">
        <v>0.015</v>
      </c>
      <c r="J39" s="47" t="n">
        <v>0.015</v>
      </c>
      <c r="K39" s="19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9" t="s">
        <v>391</v>
      </c>
      <c r="Y39" s="19" t="s">
        <v>392</v>
      </c>
      <c r="Z39" s="19" t="s">
        <v>393</v>
      </c>
      <c r="AA39" s="19" t="s">
        <v>394</v>
      </c>
      <c r="AB39" s="19" t="s">
        <v>395</v>
      </c>
    </row>
    <row r="40" customFormat="false" ht="42" hidden="false" customHeight="true" outlineLevel="0" collapsed="false">
      <c r="B40" s="48" t="s">
        <v>167</v>
      </c>
      <c r="C40" s="29" t="s">
        <v>155</v>
      </c>
      <c r="D40" s="29" t="s">
        <v>168</v>
      </c>
      <c r="E40" s="29" t="s">
        <v>88</v>
      </c>
      <c r="F40" s="29"/>
      <c r="G40" s="29"/>
      <c r="H40" s="49" t="n">
        <v>0.02</v>
      </c>
      <c r="I40" s="49" t="n">
        <v>0.015</v>
      </c>
      <c r="J40" s="49" t="n">
        <v>0.02</v>
      </c>
      <c r="K40" s="29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9" t="s">
        <v>396</v>
      </c>
      <c r="Y40" s="29" t="s">
        <v>397</v>
      </c>
      <c r="Z40" s="29" t="s">
        <v>398</v>
      </c>
      <c r="AA40" s="29" t="s">
        <v>399</v>
      </c>
      <c r="AB40" s="29" t="s">
        <v>400</v>
      </c>
    </row>
    <row r="41" customFormat="false" ht="42" hidden="false" customHeight="true" outlineLevel="0" collapsed="false">
      <c r="B41" s="46" t="s">
        <v>169</v>
      </c>
      <c r="C41" s="19" t="s">
        <v>170</v>
      </c>
      <c r="D41" s="19" t="s">
        <v>171</v>
      </c>
      <c r="E41" s="19" t="s">
        <v>88</v>
      </c>
      <c r="F41" s="19"/>
      <c r="G41" s="19"/>
      <c r="H41" s="47" t="n">
        <v>0.015</v>
      </c>
      <c r="I41" s="47" t="n">
        <v>0.0125</v>
      </c>
      <c r="J41" s="47" t="n">
        <v>0.015</v>
      </c>
      <c r="K41" s="19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9" t="s">
        <v>401</v>
      </c>
      <c r="Y41" s="19" t="s">
        <v>402</v>
      </c>
      <c r="Z41" s="19" t="s">
        <v>403</v>
      </c>
      <c r="AA41" s="19" t="s">
        <v>404</v>
      </c>
      <c r="AB41" s="19" t="s">
        <v>405</v>
      </c>
    </row>
    <row r="42" customFormat="false" ht="42" hidden="false" customHeight="true" outlineLevel="0" collapsed="false">
      <c r="B42" s="48" t="s">
        <v>172</v>
      </c>
      <c r="C42" s="29" t="s">
        <v>170</v>
      </c>
      <c r="D42" s="29" t="s">
        <v>173</v>
      </c>
      <c r="E42" s="29" t="s">
        <v>96</v>
      </c>
      <c r="F42" s="29" t="s">
        <v>124</v>
      </c>
      <c r="G42" s="29"/>
      <c r="H42" s="49" t="n">
        <v>0.015</v>
      </c>
      <c r="I42" s="49" t="n">
        <v>0.01</v>
      </c>
      <c r="J42" s="49" t="n">
        <v>0.0075</v>
      </c>
      <c r="K42" s="29" t="s">
        <v>295</v>
      </c>
      <c r="L42" s="28" t="n">
        <v>120</v>
      </c>
      <c r="M42" s="28" t="n">
        <v>180</v>
      </c>
      <c r="N42" s="28" t="n">
        <v>240</v>
      </c>
      <c r="O42" s="28" t="n">
        <v>365</v>
      </c>
      <c r="P42" s="28" t="n">
        <v>90</v>
      </c>
      <c r="Q42" s="28" t="n">
        <v>150</v>
      </c>
      <c r="R42" s="28" t="n">
        <v>210</v>
      </c>
      <c r="S42" s="28" t="n">
        <v>300</v>
      </c>
      <c r="T42" s="28" t="n">
        <v>75</v>
      </c>
      <c r="U42" s="28" t="n">
        <v>120</v>
      </c>
      <c r="V42" s="28" t="n">
        <v>180</v>
      </c>
      <c r="W42" s="28" t="n">
        <v>270</v>
      </c>
      <c r="X42" s="29"/>
      <c r="Y42" s="29"/>
      <c r="Z42" s="29"/>
      <c r="AA42" s="29"/>
      <c r="AB42" s="29"/>
    </row>
    <row r="43" customFormat="false" ht="42" hidden="false" customHeight="true" outlineLevel="0" collapsed="false">
      <c r="B43" s="46" t="s">
        <v>174</v>
      </c>
      <c r="C43" s="19" t="s">
        <v>170</v>
      </c>
      <c r="D43" s="19" t="s">
        <v>175</v>
      </c>
      <c r="E43" s="19" t="s">
        <v>96</v>
      </c>
      <c r="F43" s="19" t="s">
        <v>97</v>
      </c>
      <c r="G43" s="19"/>
      <c r="H43" s="47" t="n">
        <v>0.015</v>
      </c>
      <c r="I43" s="47" t="n">
        <v>0.01</v>
      </c>
      <c r="J43" s="47" t="n">
        <v>0.01</v>
      </c>
      <c r="K43" s="19" t="s">
        <v>295</v>
      </c>
      <c r="L43" s="18" t="n">
        <v>2</v>
      </c>
      <c r="M43" s="18" t="n">
        <v>5</v>
      </c>
      <c r="N43" s="18" t="n">
        <v>10</v>
      </c>
      <c r="O43" s="18" t="n">
        <v>20</v>
      </c>
      <c r="P43" s="18" t="n">
        <v>2</v>
      </c>
      <c r="Q43" s="18" t="n">
        <v>5</v>
      </c>
      <c r="R43" s="18" t="n">
        <v>10</v>
      </c>
      <c r="S43" s="18" t="n">
        <v>20</v>
      </c>
      <c r="T43" s="18" t="n">
        <v>2</v>
      </c>
      <c r="U43" s="18" t="n">
        <v>5</v>
      </c>
      <c r="V43" s="18" t="n">
        <v>10</v>
      </c>
      <c r="W43" s="18" t="n">
        <v>20</v>
      </c>
      <c r="X43" s="19"/>
      <c r="Y43" s="19"/>
      <c r="Z43" s="19"/>
      <c r="AA43" s="19"/>
      <c r="AB43" s="19"/>
    </row>
    <row r="44" customFormat="false" ht="42" hidden="false" customHeight="true" outlineLevel="0" collapsed="false">
      <c r="B44" s="48" t="s">
        <v>176</v>
      </c>
      <c r="C44" s="29" t="s">
        <v>170</v>
      </c>
      <c r="D44" s="29" t="s">
        <v>177</v>
      </c>
      <c r="E44" s="29" t="s">
        <v>88</v>
      </c>
      <c r="F44" s="29"/>
      <c r="G44" s="29"/>
      <c r="H44" s="49" t="n">
        <v>0.015</v>
      </c>
      <c r="I44" s="49" t="n">
        <v>0.01</v>
      </c>
      <c r="J44" s="49" t="n">
        <v>0.0075</v>
      </c>
      <c r="K44" s="29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9" t="s">
        <v>406</v>
      </c>
      <c r="Y44" s="29" t="s">
        <v>407</v>
      </c>
      <c r="Z44" s="29" t="s">
        <v>408</v>
      </c>
      <c r="AA44" s="29" t="s">
        <v>409</v>
      </c>
      <c r="AB44" s="29" t="s">
        <v>410</v>
      </c>
    </row>
    <row r="45" customFormat="false" ht="42" hidden="false" customHeight="true" outlineLevel="0" collapsed="false">
      <c r="B45" s="46" t="s">
        <v>178</v>
      </c>
      <c r="C45" s="19" t="s">
        <v>170</v>
      </c>
      <c r="D45" s="19" t="s">
        <v>179</v>
      </c>
      <c r="E45" s="19" t="s">
        <v>88</v>
      </c>
      <c r="F45" s="19"/>
      <c r="G45" s="19"/>
      <c r="H45" s="47" t="n">
        <v>0.01</v>
      </c>
      <c r="I45" s="47" t="n">
        <v>0.0075</v>
      </c>
      <c r="J45" s="47" t="n">
        <v>0.01</v>
      </c>
      <c r="K45" s="19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9" t="s">
        <v>411</v>
      </c>
      <c r="Y45" s="19" t="s">
        <v>412</v>
      </c>
      <c r="Z45" s="19" t="s">
        <v>413</v>
      </c>
      <c r="AA45" s="19" t="s">
        <v>414</v>
      </c>
      <c r="AB45" s="19" t="s">
        <v>415</v>
      </c>
    </row>
    <row r="46" customFormat="false" ht="42" hidden="false" customHeight="true" outlineLevel="0" collapsed="false">
      <c r="B46" s="48" t="s">
        <v>180</v>
      </c>
      <c r="C46" s="29" t="s">
        <v>181</v>
      </c>
      <c r="D46" s="29" t="s">
        <v>182</v>
      </c>
      <c r="E46" s="29" t="s">
        <v>88</v>
      </c>
      <c r="F46" s="29"/>
      <c r="G46" s="29"/>
      <c r="H46" s="49" t="n">
        <v>0.01</v>
      </c>
      <c r="I46" s="49" t="n">
        <v>0.01</v>
      </c>
      <c r="J46" s="49" t="n">
        <v>0.015</v>
      </c>
      <c r="K46" s="29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9" t="s">
        <v>416</v>
      </c>
      <c r="Y46" s="29" t="s">
        <v>417</v>
      </c>
      <c r="Z46" s="29" t="s">
        <v>418</v>
      </c>
      <c r="AA46" s="29" t="s">
        <v>419</v>
      </c>
      <c r="AB46" s="29" t="s">
        <v>420</v>
      </c>
    </row>
    <row r="47" customFormat="false" ht="42" hidden="false" customHeight="true" outlineLevel="0" collapsed="false">
      <c r="B47" s="46" t="s">
        <v>183</v>
      </c>
      <c r="C47" s="19" t="s">
        <v>181</v>
      </c>
      <c r="D47" s="19" t="s">
        <v>184</v>
      </c>
      <c r="E47" s="19" t="s">
        <v>88</v>
      </c>
      <c r="F47" s="19"/>
      <c r="G47" s="19"/>
      <c r="H47" s="47" t="n">
        <v>0.005</v>
      </c>
      <c r="I47" s="47" t="n">
        <v>0.0075</v>
      </c>
      <c r="J47" s="47" t="n">
        <v>0.015</v>
      </c>
      <c r="K47" s="19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9" t="s">
        <v>421</v>
      </c>
      <c r="Y47" s="19" t="s">
        <v>422</v>
      </c>
      <c r="Z47" s="19" t="s">
        <v>423</v>
      </c>
      <c r="AA47" s="19" t="s">
        <v>424</v>
      </c>
      <c r="AB47" s="19" t="s">
        <v>425</v>
      </c>
    </row>
    <row r="48" customFormat="false" ht="42" hidden="false" customHeight="true" outlineLevel="0" collapsed="false">
      <c r="B48" s="48" t="s">
        <v>185</v>
      </c>
      <c r="C48" s="29" t="s">
        <v>181</v>
      </c>
      <c r="D48" s="29" t="s">
        <v>186</v>
      </c>
      <c r="E48" s="29" t="s">
        <v>88</v>
      </c>
      <c r="F48" s="29"/>
      <c r="G48" s="29"/>
      <c r="H48" s="49" t="n">
        <v>0.01</v>
      </c>
      <c r="I48" s="49" t="n">
        <v>0.0075</v>
      </c>
      <c r="J48" s="49" t="n">
        <v>0.01</v>
      </c>
      <c r="K48" s="29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9" t="s">
        <v>426</v>
      </c>
      <c r="Y48" s="29" t="s">
        <v>427</v>
      </c>
      <c r="Z48" s="29" t="s">
        <v>428</v>
      </c>
      <c r="AA48" s="29" t="s">
        <v>429</v>
      </c>
      <c r="AB48" s="29" t="s">
        <v>430</v>
      </c>
    </row>
    <row r="49" customFormat="false" ht="42" hidden="false" customHeight="true" outlineLevel="0" collapsed="false">
      <c r="B49" s="46" t="s">
        <v>187</v>
      </c>
      <c r="C49" s="19" t="s">
        <v>181</v>
      </c>
      <c r="D49" s="19" t="s">
        <v>188</v>
      </c>
      <c r="E49" s="19" t="s">
        <v>88</v>
      </c>
      <c r="F49" s="19"/>
      <c r="G49" s="19"/>
      <c r="H49" s="47" t="n">
        <v>0.005</v>
      </c>
      <c r="I49" s="47" t="n">
        <v>0.005</v>
      </c>
      <c r="J49" s="47" t="n">
        <v>0.01</v>
      </c>
      <c r="K49" s="19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9" t="s">
        <v>431</v>
      </c>
      <c r="Y49" s="19" t="s">
        <v>432</v>
      </c>
      <c r="Z49" s="19" t="s">
        <v>433</v>
      </c>
      <c r="AA49" s="19" t="s">
        <v>434</v>
      </c>
      <c r="AB49" s="19" t="s">
        <v>435</v>
      </c>
    </row>
  </sheetData>
  <mergeCells count="2">
    <mergeCell ref="B1:Z1"/>
    <mergeCell ref="B2:Z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A3B"/>
    <pageSetUpPr fitToPage="true"/>
  </sheetPr>
  <dimension ref="B1:H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8" min="4" style="0" width="22"/>
  </cols>
  <sheetData>
    <row r="1" customFormat="false" ht="33.75" hidden="false" customHeight="true" outlineLevel="0" collapsed="false">
      <c r="B1" s="1" t="s">
        <v>436</v>
      </c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B2" s="2" t="s">
        <v>437</v>
      </c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B4" s="10" t="s">
        <v>438</v>
      </c>
      <c r="C4" s="10" t="s">
        <v>25</v>
      </c>
      <c r="D4" s="10" t="s">
        <v>439</v>
      </c>
      <c r="E4" s="10" t="s">
        <v>440</v>
      </c>
      <c r="F4" s="10" t="s">
        <v>441</v>
      </c>
      <c r="G4" s="10" t="s">
        <v>442</v>
      </c>
      <c r="H4" s="10" t="s">
        <v>443</v>
      </c>
    </row>
    <row r="5" customFormat="false" ht="69.75" hidden="false" customHeight="true" outlineLevel="0" collapsed="false">
      <c r="B5" s="50" t="s">
        <v>444</v>
      </c>
      <c r="C5" s="11" t="s">
        <v>445</v>
      </c>
      <c r="D5" s="4" t="s">
        <v>446</v>
      </c>
      <c r="E5" s="4" t="s">
        <v>447</v>
      </c>
      <c r="F5" s="4" t="s">
        <v>448</v>
      </c>
      <c r="G5" s="4" t="s">
        <v>449</v>
      </c>
      <c r="H5" s="4" t="s">
        <v>450</v>
      </c>
    </row>
    <row r="6" customFormat="false" ht="15" hidden="false" customHeight="false" outlineLevel="0" collapsed="false">
      <c r="B6" s="50" t="s">
        <v>451</v>
      </c>
      <c r="C6" s="11" t="s">
        <v>29</v>
      </c>
      <c r="D6" s="31" t="s">
        <v>452</v>
      </c>
      <c r="E6" s="31" t="s">
        <v>453</v>
      </c>
      <c r="F6" s="31" t="s">
        <v>454</v>
      </c>
      <c r="G6" s="31" t="s">
        <v>455</v>
      </c>
      <c r="H6" s="31" t="s">
        <v>456</v>
      </c>
    </row>
    <row r="7" customFormat="false" ht="15" hidden="false" customHeight="false" outlineLevel="0" collapsed="false">
      <c r="B7" s="50" t="s">
        <v>457</v>
      </c>
      <c r="C7" s="11" t="s">
        <v>458</v>
      </c>
      <c r="D7" s="31" t="s">
        <v>33</v>
      </c>
      <c r="E7" s="31" t="s">
        <v>33</v>
      </c>
      <c r="F7" s="31" t="s">
        <v>33</v>
      </c>
      <c r="G7" s="31" t="s">
        <v>33</v>
      </c>
      <c r="H7" s="31" t="s">
        <v>33</v>
      </c>
    </row>
    <row r="8" customFormat="false" ht="15" hidden="false" customHeight="false" outlineLevel="0" collapsed="false">
      <c r="B8" s="50" t="s">
        <v>459</v>
      </c>
      <c r="C8" s="11" t="s">
        <v>460</v>
      </c>
      <c r="D8" s="31" t="s">
        <v>98</v>
      </c>
      <c r="E8" s="31" t="s">
        <v>36</v>
      </c>
      <c r="F8" s="31" t="s">
        <v>36</v>
      </c>
      <c r="G8" s="31" t="s">
        <v>36</v>
      </c>
      <c r="H8" s="31" t="s">
        <v>36</v>
      </c>
    </row>
    <row r="9" customFormat="false" ht="15" hidden="false" customHeight="false" outlineLevel="0" collapsed="false">
      <c r="B9" s="50" t="s">
        <v>461</v>
      </c>
      <c r="C9" s="11" t="s">
        <v>462</v>
      </c>
      <c r="D9" s="31" t="s">
        <v>36</v>
      </c>
      <c r="E9" s="31" t="s">
        <v>36</v>
      </c>
      <c r="F9" s="31" t="s">
        <v>36</v>
      </c>
      <c r="G9" s="31" t="s">
        <v>36</v>
      </c>
      <c r="H9" s="31" t="s">
        <v>36</v>
      </c>
    </row>
    <row r="10" customFormat="false" ht="15" hidden="false" customHeight="false" outlineLevel="0" collapsed="false">
      <c r="B10" s="50" t="s">
        <v>463</v>
      </c>
      <c r="C10" s="11" t="s">
        <v>464</v>
      </c>
      <c r="D10" s="31" t="n">
        <v>100</v>
      </c>
      <c r="E10" s="31" t="n">
        <v>100</v>
      </c>
      <c r="F10" s="31" t="n">
        <v>100</v>
      </c>
      <c r="G10" s="31" t="n">
        <v>50</v>
      </c>
      <c r="H10" s="31" t="n">
        <v>100</v>
      </c>
    </row>
    <row r="11" customFormat="false" ht="15" hidden="false" customHeight="false" outlineLevel="0" collapsed="false">
      <c r="B11" s="50" t="s">
        <v>465</v>
      </c>
      <c r="C11" s="11" t="s">
        <v>466</v>
      </c>
      <c r="D11" s="31" t="n">
        <v>100</v>
      </c>
      <c r="E11" s="31" t="n">
        <v>100</v>
      </c>
      <c r="F11" s="31" t="n">
        <v>100</v>
      </c>
      <c r="G11" s="31" t="n">
        <v>75</v>
      </c>
      <c r="H11" s="31" t="n">
        <v>100</v>
      </c>
    </row>
    <row r="12" customFormat="false" ht="15" hidden="false" customHeight="false" outlineLevel="0" collapsed="false">
      <c r="B12" s="50" t="s">
        <v>467</v>
      </c>
      <c r="C12" s="11" t="s">
        <v>468</v>
      </c>
      <c r="D12" s="31" t="n">
        <v>75</v>
      </c>
      <c r="E12" s="31" t="n">
        <v>75</v>
      </c>
      <c r="F12" s="31" t="n">
        <v>75</v>
      </c>
      <c r="G12" s="31" t="n">
        <v>75</v>
      </c>
      <c r="H12" s="31" t="n">
        <v>75</v>
      </c>
    </row>
    <row r="13" customFormat="false" ht="15" hidden="false" customHeight="false" outlineLevel="0" collapsed="false">
      <c r="B13" s="50" t="s">
        <v>469</v>
      </c>
      <c r="C13" s="11" t="s">
        <v>470</v>
      </c>
      <c r="D13" s="31" t="n">
        <v>75</v>
      </c>
      <c r="E13" s="31" t="n">
        <v>75</v>
      </c>
      <c r="F13" s="31" t="n">
        <v>75</v>
      </c>
      <c r="G13" s="31" t="n">
        <v>75</v>
      </c>
      <c r="H13" s="31" t="n">
        <v>75</v>
      </c>
    </row>
    <row r="14" customFormat="false" ht="23.85" hidden="false" customHeight="false" outlineLevel="0" collapsed="false">
      <c r="B14" s="50" t="s">
        <v>248</v>
      </c>
      <c r="C14" s="11" t="s">
        <v>471</v>
      </c>
      <c r="D14" s="31" t="s">
        <v>36</v>
      </c>
      <c r="E14" s="31" t="s">
        <v>36</v>
      </c>
      <c r="F14" s="31" t="s">
        <v>98</v>
      </c>
      <c r="G14" s="31" t="s">
        <v>36</v>
      </c>
      <c r="H14" s="31" t="s">
        <v>36</v>
      </c>
    </row>
    <row r="15" customFormat="false" ht="23.85" hidden="false" customHeight="false" outlineLevel="0" collapsed="false">
      <c r="B15" s="50" t="s">
        <v>250</v>
      </c>
      <c r="C15" s="11" t="s">
        <v>472</v>
      </c>
      <c r="D15" s="31" t="s">
        <v>36</v>
      </c>
      <c r="E15" s="31" t="s">
        <v>36</v>
      </c>
      <c r="F15" s="31" t="s">
        <v>36</v>
      </c>
      <c r="G15" s="31" t="s">
        <v>36</v>
      </c>
      <c r="H15" s="31" t="s">
        <v>36</v>
      </c>
    </row>
    <row r="16" customFormat="false" ht="23.85" hidden="false" customHeight="false" outlineLevel="0" collapsed="false">
      <c r="B16" s="50" t="s">
        <v>252</v>
      </c>
      <c r="C16" s="11" t="s">
        <v>473</v>
      </c>
      <c r="D16" s="31" t="s">
        <v>36</v>
      </c>
      <c r="E16" s="31" t="s">
        <v>36</v>
      </c>
      <c r="F16" s="31" t="s">
        <v>36</v>
      </c>
      <c r="G16" s="31" t="s">
        <v>36</v>
      </c>
      <c r="H16" s="31" t="s">
        <v>36</v>
      </c>
    </row>
    <row r="17" customFormat="false" ht="23.85" hidden="false" customHeight="false" outlineLevel="0" collapsed="false">
      <c r="B17" s="50" t="s">
        <v>254</v>
      </c>
      <c r="C17" s="11" t="s">
        <v>474</v>
      </c>
      <c r="D17" s="31" t="s">
        <v>36</v>
      </c>
      <c r="E17" s="31" t="s">
        <v>36</v>
      </c>
      <c r="F17" s="31" t="s">
        <v>36</v>
      </c>
      <c r="G17" s="31" t="s">
        <v>36</v>
      </c>
      <c r="H17" s="31" t="s">
        <v>36</v>
      </c>
    </row>
    <row r="18" customFormat="false" ht="23.85" hidden="false" customHeight="false" outlineLevel="0" collapsed="false">
      <c r="B18" s="50" t="s">
        <v>475</v>
      </c>
      <c r="C18" s="11" t="s">
        <v>56</v>
      </c>
      <c r="D18" s="31" t="s">
        <v>36</v>
      </c>
      <c r="E18" s="31" t="s">
        <v>36</v>
      </c>
      <c r="F18" s="31" t="s">
        <v>36</v>
      </c>
      <c r="G18" s="31" t="s">
        <v>36</v>
      </c>
      <c r="H18" s="31" t="s">
        <v>36</v>
      </c>
    </row>
    <row r="19" customFormat="false" ht="15" hidden="false" customHeight="false" outlineLevel="0" collapsed="false">
      <c r="B19" s="50" t="s">
        <v>476</v>
      </c>
      <c r="C19" s="11" t="s">
        <v>477</v>
      </c>
      <c r="D19" s="31" t="s">
        <v>36</v>
      </c>
      <c r="E19" s="31" t="s">
        <v>98</v>
      </c>
      <c r="F19" s="31" t="s">
        <v>36</v>
      </c>
      <c r="G19" s="31" t="s">
        <v>36</v>
      </c>
      <c r="H19" s="31" t="s">
        <v>98</v>
      </c>
    </row>
    <row r="20" customFormat="false" ht="15" hidden="false" customHeight="false" outlineLevel="0" collapsed="false">
      <c r="B20" s="50" t="s">
        <v>478</v>
      </c>
      <c r="C20" s="11" t="s">
        <v>479</v>
      </c>
      <c r="D20" s="31" t="s">
        <v>36</v>
      </c>
      <c r="E20" s="31" t="s">
        <v>36</v>
      </c>
      <c r="F20" s="31" t="s">
        <v>36</v>
      </c>
      <c r="G20" s="31" t="s">
        <v>36</v>
      </c>
      <c r="H20" s="31" t="s">
        <v>98</v>
      </c>
    </row>
    <row r="21" customFormat="false" ht="15" hidden="false" customHeight="false" outlineLevel="0" collapsed="false">
      <c r="B21" s="50" t="s">
        <v>480</v>
      </c>
      <c r="C21" s="11" t="s">
        <v>481</v>
      </c>
      <c r="D21" s="31" t="s">
        <v>61</v>
      </c>
      <c r="E21" s="31" t="s">
        <v>61</v>
      </c>
      <c r="F21" s="31" t="s">
        <v>61</v>
      </c>
      <c r="G21" s="31" t="s">
        <v>61</v>
      </c>
      <c r="H21" s="31" t="s">
        <v>61</v>
      </c>
    </row>
    <row r="22" customFormat="false" ht="15" hidden="false" customHeight="false" outlineLevel="0" collapsed="false">
      <c r="B22" s="50" t="s">
        <v>482</v>
      </c>
      <c r="C22" s="11" t="s">
        <v>62</v>
      </c>
      <c r="D22" s="31" t="s">
        <v>36</v>
      </c>
      <c r="E22" s="31" t="s">
        <v>36</v>
      </c>
      <c r="F22" s="31" t="s">
        <v>36</v>
      </c>
      <c r="G22" s="31" t="s">
        <v>36</v>
      </c>
      <c r="H22" s="31" t="s">
        <v>36</v>
      </c>
    </row>
    <row r="23" customFormat="false" ht="15" hidden="false" customHeight="false" outlineLevel="0" collapsed="false">
      <c r="B23" s="50" t="s">
        <v>483</v>
      </c>
      <c r="C23" s="11" t="s">
        <v>484</v>
      </c>
      <c r="D23" s="31" t="s">
        <v>36</v>
      </c>
      <c r="E23" s="31" t="s">
        <v>36</v>
      </c>
      <c r="F23" s="31" t="s">
        <v>36</v>
      </c>
      <c r="G23" s="31" t="s">
        <v>36</v>
      </c>
      <c r="H23" s="31" t="s">
        <v>36</v>
      </c>
    </row>
    <row r="24" customFormat="false" ht="15" hidden="false" customHeight="false" outlineLevel="0" collapsed="false">
      <c r="B24" s="50" t="s">
        <v>485</v>
      </c>
      <c r="C24" s="11" t="s">
        <v>486</v>
      </c>
      <c r="D24" s="31" t="s">
        <v>36</v>
      </c>
      <c r="E24" s="31" t="s">
        <v>36</v>
      </c>
      <c r="F24" s="31" t="s">
        <v>36</v>
      </c>
      <c r="G24" s="31" t="s">
        <v>36</v>
      </c>
      <c r="H24" s="31" t="s">
        <v>36</v>
      </c>
    </row>
    <row r="25" customFormat="false" ht="15" hidden="false" customHeight="false" outlineLevel="0" collapsed="false">
      <c r="B25" s="50" t="s">
        <v>487</v>
      </c>
      <c r="C25" s="11" t="s">
        <v>488</v>
      </c>
      <c r="D25" s="31" t="s">
        <v>36</v>
      </c>
      <c r="E25" s="31" t="s">
        <v>36</v>
      </c>
      <c r="F25" s="31" t="s">
        <v>36</v>
      </c>
      <c r="G25" s="31" t="s">
        <v>36</v>
      </c>
      <c r="H25" s="31" t="s">
        <v>36</v>
      </c>
    </row>
    <row r="26" customFormat="false" ht="15" hidden="false" customHeight="false" outlineLevel="0" collapsed="false">
      <c r="B26" s="50" t="s">
        <v>489</v>
      </c>
      <c r="C26" s="11" t="s">
        <v>490</v>
      </c>
      <c r="D26" s="31" t="s">
        <v>36</v>
      </c>
      <c r="E26" s="31" t="s">
        <v>36</v>
      </c>
      <c r="F26" s="31" t="s">
        <v>36</v>
      </c>
      <c r="G26" s="31" t="s">
        <v>36</v>
      </c>
      <c r="H26" s="31" t="s">
        <v>36</v>
      </c>
    </row>
    <row r="27" customFormat="false" ht="15" hidden="false" customHeight="false" outlineLevel="0" collapsed="false">
      <c r="B27" s="50" t="s">
        <v>491</v>
      </c>
      <c r="C27" s="11" t="s">
        <v>492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</row>
    <row r="28" customFormat="false" ht="15" hidden="false" customHeight="false" outlineLevel="0" collapsed="false">
      <c r="B28" s="50" t="s">
        <v>493</v>
      </c>
      <c r="C28" s="11" t="s">
        <v>494</v>
      </c>
      <c r="D28" s="31" t="s">
        <v>89</v>
      </c>
      <c r="E28" s="31" t="s">
        <v>89</v>
      </c>
      <c r="F28" s="31" t="s">
        <v>89</v>
      </c>
      <c r="G28" s="31" t="s">
        <v>495</v>
      </c>
      <c r="H28" s="31" t="s">
        <v>89</v>
      </c>
    </row>
    <row r="29" customFormat="false" ht="15" hidden="false" customHeight="false" outlineLevel="0" collapsed="false">
      <c r="B29" s="50" t="s">
        <v>496</v>
      </c>
      <c r="C29" s="11" t="s">
        <v>497</v>
      </c>
      <c r="D29" s="31" t="n">
        <v>75</v>
      </c>
      <c r="E29" s="31" t="n">
        <v>75</v>
      </c>
      <c r="F29" s="31" t="n">
        <v>75</v>
      </c>
      <c r="G29" s="31"/>
      <c r="H29" s="31" t="n">
        <v>75</v>
      </c>
    </row>
    <row r="30" customFormat="false" ht="15" hidden="false" customHeight="false" outlineLevel="0" collapsed="false">
      <c r="B30" s="50" t="s">
        <v>498</v>
      </c>
      <c r="C30" s="11" t="s">
        <v>499</v>
      </c>
      <c r="D30" s="31" t="s">
        <v>89</v>
      </c>
      <c r="E30" s="31" t="s">
        <v>89</v>
      </c>
      <c r="F30" s="31" t="s">
        <v>89</v>
      </c>
      <c r="G30" s="31" t="s">
        <v>495</v>
      </c>
      <c r="H30" s="31" t="s">
        <v>89</v>
      </c>
    </row>
    <row r="31" customFormat="false" ht="15" hidden="false" customHeight="false" outlineLevel="0" collapsed="false">
      <c r="B31" s="50" t="s">
        <v>500</v>
      </c>
      <c r="C31" s="11" t="s">
        <v>501</v>
      </c>
      <c r="D31" s="31" t="n">
        <v>75</v>
      </c>
      <c r="E31" s="31" t="n">
        <v>50</v>
      </c>
      <c r="F31" s="31" t="n">
        <v>50</v>
      </c>
      <c r="G31" s="31"/>
      <c r="H31" s="31" t="n">
        <v>50</v>
      </c>
    </row>
    <row r="32" customFormat="false" ht="15" hidden="false" customHeight="false" outlineLevel="0" collapsed="false">
      <c r="B32" s="50" t="s">
        <v>502</v>
      </c>
      <c r="C32" s="11" t="s">
        <v>503</v>
      </c>
      <c r="D32" s="31" t="s">
        <v>89</v>
      </c>
      <c r="E32" s="31" t="s">
        <v>89</v>
      </c>
      <c r="F32" s="31" t="s">
        <v>89</v>
      </c>
      <c r="G32" s="31" t="s">
        <v>495</v>
      </c>
      <c r="H32" s="31" t="s">
        <v>89</v>
      </c>
    </row>
    <row r="33" customFormat="false" ht="15" hidden="false" customHeight="false" outlineLevel="0" collapsed="false">
      <c r="B33" s="50" t="s">
        <v>504</v>
      </c>
      <c r="C33" s="11" t="s">
        <v>505</v>
      </c>
      <c r="D33" s="31" t="n">
        <v>50</v>
      </c>
      <c r="E33" s="31" t="n">
        <v>50</v>
      </c>
      <c r="F33" s="31" t="n">
        <v>50</v>
      </c>
      <c r="G33" s="31"/>
      <c r="H33" s="31" t="n">
        <v>50</v>
      </c>
    </row>
    <row r="34" customFormat="false" ht="15" hidden="false" customHeight="false" outlineLevel="0" collapsed="false">
      <c r="B34" s="50" t="s">
        <v>506</v>
      </c>
      <c r="C34" s="11" t="s">
        <v>507</v>
      </c>
      <c r="D34" s="31" t="s">
        <v>89</v>
      </c>
      <c r="E34" s="31" t="s">
        <v>89</v>
      </c>
      <c r="F34" s="31" t="s">
        <v>89</v>
      </c>
      <c r="G34" s="31" t="s">
        <v>89</v>
      </c>
      <c r="H34" s="31" t="s">
        <v>89</v>
      </c>
    </row>
    <row r="35" customFormat="false" ht="15" hidden="false" customHeight="false" outlineLevel="0" collapsed="false">
      <c r="B35" s="50" t="s">
        <v>508</v>
      </c>
      <c r="C35" s="11" t="s">
        <v>509</v>
      </c>
      <c r="D35" s="31" t="n">
        <v>38</v>
      </c>
      <c r="E35" s="31" t="n">
        <v>30</v>
      </c>
      <c r="F35" s="31" t="n">
        <v>30</v>
      </c>
      <c r="G35" s="31" t="n">
        <v>30</v>
      </c>
      <c r="H35" s="31" t="n">
        <v>30</v>
      </c>
    </row>
    <row r="36" customFormat="false" ht="15" hidden="false" customHeight="false" outlineLevel="0" collapsed="false">
      <c r="B36" s="50" t="s">
        <v>510</v>
      </c>
      <c r="C36" s="11" t="s">
        <v>511</v>
      </c>
      <c r="D36" s="31" t="s">
        <v>89</v>
      </c>
      <c r="E36" s="31" t="s">
        <v>89</v>
      </c>
      <c r="F36" s="31" t="s">
        <v>89</v>
      </c>
      <c r="G36" s="31" t="s">
        <v>89</v>
      </c>
      <c r="H36" s="31" t="s">
        <v>89</v>
      </c>
    </row>
    <row r="37" customFormat="false" ht="15" hidden="false" customHeight="false" outlineLevel="0" collapsed="false">
      <c r="B37" s="50" t="s">
        <v>512</v>
      </c>
      <c r="C37" s="11" t="s">
        <v>513</v>
      </c>
      <c r="D37" s="31" t="n">
        <v>1.2</v>
      </c>
      <c r="E37" s="31" t="n">
        <v>2.2</v>
      </c>
      <c r="F37" s="31" t="n">
        <v>2.2</v>
      </c>
      <c r="G37" s="31" t="n">
        <v>2.2</v>
      </c>
      <c r="H37" s="31" t="n">
        <v>2.2</v>
      </c>
    </row>
    <row r="38" customFormat="false" ht="15" hidden="false" customHeight="false" outlineLevel="0" collapsed="false">
      <c r="B38" s="50" t="s">
        <v>514</v>
      </c>
      <c r="C38" s="11" t="s">
        <v>515</v>
      </c>
      <c r="D38" s="31" t="s">
        <v>89</v>
      </c>
      <c r="E38" s="31" t="s">
        <v>89</v>
      </c>
      <c r="F38" s="31" t="s">
        <v>89</v>
      </c>
      <c r="G38" s="31" t="s">
        <v>495</v>
      </c>
      <c r="H38" s="31" t="s">
        <v>89</v>
      </c>
    </row>
    <row r="39" customFormat="false" ht="15" hidden="false" customHeight="false" outlineLevel="0" collapsed="false">
      <c r="B39" s="50" t="s">
        <v>516</v>
      </c>
      <c r="C39" s="11" t="s">
        <v>517</v>
      </c>
      <c r="D39" s="31" t="n">
        <v>1.6</v>
      </c>
      <c r="E39" s="31" t="n">
        <v>1.3</v>
      </c>
      <c r="F39" s="31" t="n">
        <v>1.3</v>
      </c>
      <c r="G39" s="31"/>
      <c r="H39" s="31" t="n">
        <v>1.3</v>
      </c>
    </row>
    <row r="40" customFormat="false" ht="15" hidden="false" customHeight="false" outlineLevel="0" collapsed="false">
      <c r="B40" s="50" t="s">
        <v>518</v>
      </c>
      <c r="C40" s="11" t="s">
        <v>519</v>
      </c>
      <c r="D40" s="31" t="s">
        <v>89</v>
      </c>
      <c r="E40" s="31" t="s">
        <v>89</v>
      </c>
      <c r="F40" s="31" t="s">
        <v>89</v>
      </c>
      <c r="G40" s="31" t="s">
        <v>495</v>
      </c>
      <c r="H40" s="31" t="s">
        <v>89</v>
      </c>
    </row>
    <row r="41" customFormat="false" ht="15" hidden="false" customHeight="false" outlineLevel="0" collapsed="false">
      <c r="B41" s="50" t="s">
        <v>520</v>
      </c>
      <c r="C41" s="11" t="s">
        <v>521</v>
      </c>
      <c r="D41" s="31" t="n">
        <v>50</v>
      </c>
      <c r="E41" s="31" t="n">
        <v>50</v>
      </c>
      <c r="F41" s="31" t="n">
        <v>50</v>
      </c>
      <c r="G41" s="31"/>
      <c r="H41" s="31" t="n">
        <v>50</v>
      </c>
    </row>
    <row r="42" customFormat="false" ht="15" hidden="false" customHeight="false" outlineLevel="0" collapsed="false">
      <c r="B42" s="50" t="s">
        <v>522</v>
      </c>
      <c r="C42" s="11" t="s">
        <v>523</v>
      </c>
      <c r="D42" s="31" t="s">
        <v>89</v>
      </c>
      <c r="E42" s="31" t="s">
        <v>89</v>
      </c>
      <c r="F42" s="31" t="s">
        <v>89</v>
      </c>
      <c r="G42" s="31" t="s">
        <v>495</v>
      </c>
      <c r="H42" s="31" t="s">
        <v>89</v>
      </c>
    </row>
    <row r="43" customFormat="false" ht="15" hidden="false" customHeight="false" outlineLevel="0" collapsed="false">
      <c r="B43" s="50" t="s">
        <v>524</v>
      </c>
      <c r="C43" s="11" t="s">
        <v>525</v>
      </c>
      <c r="D43" s="31" t="n">
        <v>75</v>
      </c>
      <c r="E43" s="31" t="n">
        <v>75</v>
      </c>
      <c r="F43" s="31" t="n">
        <v>75</v>
      </c>
      <c r="G43" s="31"/>
      <c r="H43" s="31" t="n">
        <v>75</v>
      </c>
    </row>
    <row r="44" customFormat="false" ht="15" hidden="false" customHeight="false" outlineLevel="0" collapsed="false">
      <c r="B44" s="50" t="s">
        <v>526</v>
      </c>
      <c r="C44" s="11" t="s">
        <v>527</v>
      </c>
      <c r="D44" s="31" t="s">
        <v>89</v>
      </c>
      <c r="E44" s="31" t="s">
        <v>89</v>
      </c>
      <c r="F44" s="31" t="s">
        <v>89</v>
      </c>
      <c r="G44" s="31" t="s">
        <v>495</v>
      </c>
      <c r="H44" s="31" t="s">
        <v>89</v>
      </c>
    </row>
    <row r="45" customFormat="false" ht="15" hidden="false" customHeight="false" outlineLevel="0" collapsed="false">
      <c r="B45" s="50" t="s">
        <v>528</v>
      </c>
      <c r="C45" s="11" t="s">
        <v>529</v>
      </c>
      <c r="D45" s="31" t="n">
        <v>6</v>
      </c>
      <c r="E45" s="31" t="n">
        <v>4</v>
      </c>
      <c r="F45" s="31" t="n">
        <v>4</v>
      </c>
      <c r="G45" s="31"/>
      <c r="H45" s="31" t="n">
        <v>4</v>
      </c>
    </row>
    <row r="46" customFormat="false" ht="15" hidden="false" customHeight="false" outlineLevel="0" collapsed="false">
      <c r="B46" s="50" t="s">
        <v>530</v>
      </c>
      <c r="C46" s="11" t="s">
        <v>531</v>
      </c>
      <c r="D46" s="31" t="s">
        <v>89</v>
      </c>
      <c r="E46" s="31" t="s">
        <v>89</v>
      </c>
      <c r="F46" s="31" t="s">
        <v>89</v>
      </c>
      <c r="G46" s="31" t="s">
        <v>89</v>
      </c>
      <c r="H46" s="31" t="s">
        <v>89</v>
      </c>
    </row>
    <row r="47" customFormat="false" ht="15" hidden="false" customHeight="false" outlineLevel="0" collapsed="false">
      <c r="B47" s="50" t="s">
        <v>532</v>
      </c>
      <c r="C47" s="11" t="s">
        <v>533</v>
      </c>
      <c r="D47" s="31" t="n">
        <v>1.7</v>
      </c>
      <c r="E47" s="31" t="n">
        <v>1.4</v>
      </c>
      <c r="F47" s="31" t="n">
        <v>0.9</v>
      </c>
      <c r="G47" s="31" t="n">
        <v>1.4</v>
      </c>
      <c r="H47" s="31" t="n">
        <v>1.4</v>
      </c>
    </row>
    <row r="48" customFormat="false" ht="15" hidden="false" customHeight="false" outlineLevel="0" collapsed="false">
      <c r="B48" s="50" t="s">
        <v>534</v>
      </c>
      <c r="C48" s="11" t="s">
        <v>535</v>
      </c>
      <c r="D48" s="31" t="s">
        <v>89</v>
      </c>
      <c r="E48" s="31" t="s">
        <v>89</v>
      </c>
      <c r="F48" s="31" t="s">
        <v>89</v>
      </c>
      <c r="G48" s="31" t="s">
        <v>495</v>
      </c>
      <c r="H48" s="31" t="s">
        <v>89</v>
      </c>
    </row>
    <row r="49" customFormat="false" ht="15" hidden="false" customHeight="false" outlineLevel="0" collapsed="false">
      <c r="B49" s="50" t="s">
        <v>536</v>
      </c>
      <c r="C49" s="11" t="s">
        <v>537</v>
      </c>
      <c r="D49" s="31" t="n">
        <v>22</v>
      </c>
      <c r="E49" s="31" t="n">
        <v>10</v>
      </c>
      <c r="F49" s="31" t="n">
        <v>10</v>
      </c>
      <c r="G49" s="31"/>
      <c r="H49" s="31" t="n">
        <v>10</v>
      </c>
    </row>
    <row r="50" customFormat="false" ht="15" hidden="false" customHeight="false" outlineLevel="0" collapsed="false">
      <c r="B50" s="50" t="s">
        <v>538</v>
      </c>
      <c r="C50" s="11" t="s">
        <v>539</v>
      </c>
      <c r="D50" s="31" t="s">
        <v>89</v>
      </c>
      <c r="E50" s="31" t="s">
        <v>89</v>
      </c>
      <c r="F50" s="31" t="s">
        <v>89</v>
      </c>
      <c r="G50" s="31" t="s">
        <v>495</v>
      </c>
      <c r="H50" s="31" t="s">
        <v>89</v>
      </c>
    </row>
    <row r="51" customFormat="false" ht="15" hidden="false" customHeight="false" outlineLevel="0" collapsed="false">
      <c r="B51" s="50" t="s">
        <v>540</v>
      </c>
      <c r="C51" s="11" t="s">
        <v>541</v>
      </c>
      <c r="D51" s="31" t="n">
        <v>50</v>
      </c>
      <c r="E51" s="31" t="n">
        <v>50</v>
      </c>
      <c r="F51" s="31" t="n">
        <v>50</v>
      </c>
      <c r="G51" s="31"/>
      <c r="H51" s="31" t="n">
        <v>50</v>
      </c>
    </row>
    <row r="52" customFormat="false" ht="15" hidden="false" customHeight="false" outlineLevel="0" collapsed="false">
      <c r="B52" s="50" t="s">
        <v>542</v>
      </c>
      <c r="C52" s="11" t="s">
        <v>543</v>
      </c>
      <c r="D52" s="31" t="s">
        <v>89</v>
      </c>
      <c r="E52" s="31" t="s">
        <v>89</v>
      </c>
      <c r="F52" s="31" t="s">
        <v>89</v>
      </c>
      <c r="G52" s="31" t="s">
        <v>495</v>
      </c>
      <c r="H52" s="31" t="s">
        <v>89</v>
      </c>
    </row>
    <row r="53" customFormat="false" ht="15" hidden="false" customHeight="false" outlineLevel="0" collapsed="false">
      <c r="B53" s="50" t="s">
        <v>544</v>
      </c>
      <c r="C53" s="11" t="s">
        <v>545</v>
      </c>
      <c r="D53" s="31" t="n">
        <v>1.45</v>
      </c>
      <c r="E53" s="31" t="n">
        <v>1.1</v>
      </c>
      <c r="F53" s="31" t="n">
        <v>0.85</v>
      </c>
      <c r="G53" s="31"/>
      <c r="H53" s="31" t="n">
        <v>1.1</v>
      </c>
    </row>
    <row r="54" customFormat="false" ht="15" hidden="false" customHeight="false" outlineLevel="0" collapsed="false">
      <c r="B54" s="50" t="s">
        <v>546</v>
      </c>
      <c r="C54" s="11" t="s">
        <v>547</v>
      </c>
      <c r="D54" s="31" t="s">
        <v>89</v>
      </c>
      <c r="E54" s="31" t="s">
        <v>89</v>
      </c>
      <c r="F54" s="31" t="s">
        <v>89</v>
      </c>
      <c r="G54" s="31" t="s">
        <v>495</v>
      </c>
      <c r="H54" s="31" t="s">
        <v>89</v>
      </c>
    </row>
    <row r="55" customFormat="false" ht="15" hidden="false" customHeight="false" outlineLevel="0" collapsed="false">
      <c r="B55" s="50" t="s">
        <v>548</v>
      </c>
      <c r="C55" s="11" t="s">
        <v>549</v>
      </c>
      <c r="D55" s="31" t="n">
        <v>75</v>
      </c>
      <c r="E55" s="31" t="n">
        <v>75</v>
      </c>
      <c r="F55" s="31" t="n">
        <v>75</v>
      </c>
      <c r="G55" s="31"/>
      <c r="H55" s="31" t="n">
        <v>75</v>
      </c>
    </row>
    <row r="56" customFormat="false" ht="15" hidden="false" customHeight="false" outlineLevel="0" collapsed="false">
      <c r="B56" s="50" t="s">
        <v>550</v>
      </c>
      <c r="C56" s="11" t="s">
        <v>551</v>
      </c>
      <c r="D56" s="31" t="s">
        <v>89</v>
      </c>
      <c r="E56" s="31" t="s">
        <v>89</v>
      </c>
      <c r="F56" s="31" t="s">
        <v>89</v>
      </c>
      <c r="G56" s="31" t="s">
        <v>89</v>
      </c>
      <c r="H56" s="31" t="s">
        <v>89</v>
      </c>
    </row>
    <row r="57" customFormat="false" ht="15" hidden="false" customHeight="false" outlineLevel="0" collapsed="false">
      <c r="B57" s="50" t="s">
        <v>552</v>
      </c>
      <c r="C57" s="11" t="s">
        <v>553</v>
      </c>
      <c r="D57" s="31" t="n">
        <v>0</v>
      </c>
      <c r="E57" s="31" t="n">
        <v>20</v>
      </c>
      <c r="F57" s="31" t="n">
        <v>0</v>
      </c>
      <c r="G57" s="31" t="n">
        <v>0</v>
      </c>
      <c r="H57" s="31" t="n">
        <v>95</v>
      </c>
    </row>
    <row r="58" customFormat="false" ht="15" hidden="false" customHeight="false" outlineLevel="0" collapsed="false">
      <c r="B58" s="50" t="s">
        <v>554</v>
      </c>
      <c r="C58" s="11" t="s">
        <v>555</v>
      </c>
      <c r="D58" s="31" t="s">
        <v>89</v>
      </c>
      <c r="E58" s="31" t="s">
        <v>89</v>
      </c>
      <c r="F58" s="31" t="s">
        <v>89</v>
      </c>
      <c r="G58" s="31" t="s">
        <v>495</v>
      </c>
      <c r="H58" s="31" t="s">
        <v>89</v>
      </c>
    </row>
    <row r="59" customFormat="false" ht="15" hidden="false" customHeight="false" outlineLevel="0" collapsed="false">
      <c r="B59" s="50" t="s">
        <v>556</v>
      </c>
      <c r="C59" s="11" t="s">
        <v>557</v>
      </c>
      <c r="D59" s="31" t="n">
        <v>100</v>
      </c>
      <c r="E59" s="31" t="n">
        <v>25</v>
      </c>
      <c r="F59" s="31" t="n">
        <v>100</v>
      </c>
      <c r="G59" s="31"/>
      <c r="H59" s="31" t="n">
        <v>100</v>
      </c>
    </row>
    <row r="60" customFormat="false" ht="15" hidden="false" customHeight="false" outlineLevel="0" collapsed="false">
      <c r="B60" s="50" t="s">
        <v>558</v>
      </c>
      <c r="C60" s="11" t="s">
        <v>559</v>
      </c>
      <c r="D60" s="31" t="s">
        <v>89</v>
      </c>
      <c r="E60" s="31" t="s">
        <v>89</v>
      </c>
      <c r="F60" s="31" t="s">
        <v>89</v>
      </c>
      <c r="G60" s="31" t="s">
        <v>495</v>
      </c>
      <c r="H60" s="31" t="s">
        <v>89</v>
      </c>
    </row>
    <row r="61" customFormat="false" ht="15" hidden="false" customHeight="false" outlineLevel="0" collapsed="false">
      <c r="B61" s="50" t="s">
        <v>560</v>
      </c>
      <c r="C61" s="11" t="s">
        <v>561</v>
      </c>
      <c r="D61" s="31" t="n">
        <v>100</v>
      </c>
      <c r="E61" s="31" t="n">
        <v>25</v>
      </c>
      <c r="F61" s="31" t="n">
        <v>75</v>
      </c>
      <c r="G61" s="31"/>
      <c r="H61" s="31" t="n">
        <v>75</v>
      </c>
    </row>
    <row r="62" customFormat="false" ht="15" hidden="false" customHeight="false" outlineLevel="0" collapsed="false">
      <c r="B62" s="50" t="s">
        <v>562</v>
      </c>
      <c r="C62" s="11" t="s">
        <v>563</v>
      </c>
      <c r="D62" s="31" t="s">
        <v>89</v>
      </c>
      <c r="E62" s="31" t="s">
        <v>89</v>
      </c>
      <c r="F62" s="31" t="s">
        <v>89</v>
      </c>
      <c r="G62" s="31" t="s">
        <v>495</v>
      </c>
      <c r="H62" s="31" t="s">
        <v>89</v>
      </c>
    </row>
    <row r="63" customFormat="false" ht="15" hidden="false" customHeight="false" outlineLevel="0" collapsed="false">
      <c r="B63" s="50" t="s">
        <v>564</v>
      </c>
      <c r="C63" s="11" t="s">
        <v>565</v>
      </c>
      <c r="D63" s="31" t="n">
        <v>115</v>
      </c>
      <c r="E63" s="31" t="n">
        <v>65</v>
      </c>
      <c r="F63" s="31" t="n">
        <v>95</v>
      </c>
      <c r="G63" s="31"/>
      <c r="H63" s="31" t="n">
        <v>95</v>
      </c>
    </row>
    <row r="64" customFormat="false" ht="15" hidden="false" customHeight="false" outlineLevel="0" collapsed="false">
      <c r="B64" s="50" t="s">
        <v>566</v>
      </c>
      <c r="C64" s="11" t="s">
        <v>567</v>
      </c>
      <c r="D64" s="31" t="s">
        <v>89</v>
      </c>
      <c r="E64" s="31" t="s">
        <v>89</v>
      </c>
      <c r="F64" s="31" t="s">
        <v>89</v>
      </c>
      <c r="G64" s="31" t="s">
        <v>495</v>
      </c>
      <c r="H64" s="31" t="s">
        <v>89</v>
      </c>
    </row>
    <row r="65" customFormat="false" ht="15" hidden="false" customHeight="false" outlineLevel="0" collapsed="false">
      <c r="B65" s="50" t="s">
        <v>568</v>
      </c>
      <c r="C65" s="11" t="s">
        <v>569</v>
      </c>
      <c r="D65" s="31" t="n">
        <v>100</v>
      </c>
      <c r="E65" s="31" t="n">
        <v>25</v>
      </c>
      <c r="F65" s="31" t="n">
        <v>100</v>
      </c>
      <c r="G65" s="31"/>
      <c r="H65" s="31" t="n">
        <v>100</v>
      </c>
    </row>
    <row r="66" customFormat="false" ht="15" hidden="false" customHeight="false" outlineLevel="0" collapsed="false">
      <c r="B66" s="50" t="s">
        <v>570</v>
      </c>
      <c r="C66" s="11" t="s">
        <v>571</v>
      </c>
      <c r="D66" s="31" t="s">
        <v>89</v>
      </c>
      <c r="E66" s="31" t="s">
        <v>89</v>
      </c>
      <c r="F66" s="31" t="s">
        <v>89</v>
      </c>
      <c r="G66" s="31" t="s">
        <v>495</v>
      </c>
      <c r="H66" s="31" t="s">
        <v>89</v>
      </c>
    </row>
    <row r="67" customFormat="false" ht="15" hidden="false" customHeight="false" outlineLevel="0" collapsed="false">
      <c r="B67" s="50" t="s">
        <v>572</v>
      </c>
      <c r="C67" s="11" t="s">
        <v>573</v>
      </c>
      <c r="D67" s="31" t="n">
        <v>100</v>
      </c>
      <c r="E67" s="31" t="n">
        <v>100</v>
      </c>
      <c r="F67" s="31" t="n">
        <v>100</v>
      </c>
      <c r="G67" s="31"/>
      <c r="H67" s="31" t="n">
        <v>100</v>
      </c>
    </row>
    <row r="68" customFormat="false" ht="15" hidden="false" customHeight="false" outlineLevel="0" collapsed="false">
      <c r="B68" s="50" t="s">
        <v>574</v>
      </c>
      <c r="C68" s="11" t="s">
        <v>575</v>
      </c>
      <c r="D68" s="31" t="s">
        <v>89</v>
      </c>
      <c r="E68" s="31" t="s">
        <v>89</v>
      </c>
      <c r="F68" s="31" t="s">
        <v>89</v>
      </c>
      <c r="G68" s="31" t="s">
        <v>495</v>
      </c>
      <c r="H68" s="31" t="s">
        <v>89</v>
      </c>
    </row>
    <row r="69" customFormat="false" ht="15" hidden="false" customHeight="false" outlineLevel="0" collapsed="false">
      <c r="B69" s="50" t="s">
        <v>576</v>
      </c>
      <c r="C69" s="11" t="s">
        <v>577</v>
      </c>
      <c r="D69" s="31" t="n">
        <v>75</v>
      </c>
      <c r="E69" s="31" t="n">
        <v>25</v>
      </c>
      <c r="F69" s="31" t="n">
        <v>75</v>
      </c>
      <c r="G69" s="31"/>
      <c r="H69" s="31" t="n">
        <v>75</v>
      </c>
    </row>
    <row r="70" customFormat="false" ht="15" hidden="false" customHeight="false" outlineLevel="0" collapsed="false">
      <c r="B70" s="50" t="s">
        <v>578</v>
      </c>
      <c r="C70" s="11" t="s">
        <v>579</v>
      </c>
      <c r="D70" s="31" t="s">
        <v>89</v>
      </c>
      <c r="E70" s="31" t="s">
        <v>89</v>
      </c>
      <c r="F70" s="31" t="s">
        <v>89</v>
      </c>
      <c r="G70" s="31" t="s">
        <v>89</v>
      </c>
      <c r="H70" s="31" t="s">
        <v>89</v>
      </c>
    </row>
    <row r="71" customFormat="false" ht="15" hidden="false" customHeight="false" outlineLevel="0" collapsed="false">
      <c r="B71" s="50" t="s">
        <v>580</v>
      </c>
      <c r="C71" s="11" t="s">
        <v>581</v>
      </c>
      <c r="D71" s="31" t="n">
        <v>50</v>
      </c>
      <c r="E71" s="31" t="n">
        <v>50</v>
      </c>
      <c r="F71" s="31" t="n">
        <v>50</v>
      </c>
      <c r="G71" s="31" t="n">
        <v>50</v>
      </c>
      <c r="H71" s="31" t="n">
        <v>50</v>
      </c>
    </row>
    <row r="72" customFormat="false" ht="15" hidden="false" customHeight="false" outlineLevel="0" collapsed="false">
      <c r="B72" s="50" t="s">
        <v>582</v>
      </c>
      <c r="C72" s="11" t="s">
        <v>583</v>
      </c>
      <c r="D72" s="31" t="s">
        <v>89</v>
      </c>
      <c r="E72" s="31" t="s">
        <v>89</v>
      </c>
      <c r="F72" s="31" t="s">
        <v>89</v>
      </c>
      <c r="G72" s="31" t="s">
        <v>495</v>
      </c>
      <c r="H72" s="31" t="s">
        <v>89</v>
      </c>
    </row>
    <row r="73" customFormat="false" ht="15" hidden="false" customHeight="false" outlineLevel="0" collapsed="false">
      <c r="B73" s="50" t="s">
        <v>584</v>
      </c>
      <c r="C73" s="11" t="s">
        <v>585</v>
      </c>
      <c r="D73" s="31" t="n">
        <v>75</v>
      </c>
      <c r="E73" s="31" t="n">
        <v>50</v>
      </c>
      <c r="F73" s="31" t="n">
        <v>50</v>
      </c>
      <c r="G73" s="31"/>
      <c r="H73" s="31" t="n">
        <v>50</v>
      </c>
    </row>
    <row r="74" customFormat="false" ht="15" hidden="false" customHeight="false" outlineLevel="0" collapsed="false">
      <c r="B74" s="50" t="s">
        <v>586</v>
      </c>
      <c r="C74" s="11" t="s">
        <v>587</v>
      </c>
      <c r="D74" s="31" t="s">
        <v>89</v>
      </c>
      <c r="E74" s="31" t="s">
        <v>89</v>
      </c>
      <c r="F74" s="31" t="s">
        <v>89</v>
      </c>
      <c r="G74" s="31" t="s">
        <v>495</v>
      </c>
      <c r="H74" s="31" t="s">
        <v>89</v>
      </c>
    </row>
    <row r="75" customFormat="false" ht="15" hidden="false" customHeight="false" outlineLevel="0" collapsed="false">
      <c r="B75" s="50" t="s">
        <v>588</v>
      </c>
      <c r="C75" s="11" t="s">
        <v>589</v>
      </c>
      <c r="D75" s="31" t="n">
        <v>20</v>
      </c>
      <c r="E75" s="31" t="n">
        <v>20</v>
      </c>
      <c r="F75" s="31" t="n">
        <v>20</v>
      </c>
      <c r="G75" s="31"/>
      <c r="H75" s="31" t="n">
        <v>20</v>
      </c>
    </row>
    <row r="76" customFormat="false" ht="15" hidden="false" customHeight="false" outlineLevel="0" collapsed="false">
      <c r="B76" s="50" t="s">
        <v>590</v>
      </c>
      <c r="C76" s="11" t="s">
        <v>591</v>
      </c>
      <c r="D76" s="31" t="s">
        <v>89</v>
      </c>
      <c r="E76" s="31" t="s">
        <v>89</v>
      </c>
      <c r="F76" s="31" t="s">
        <v>89</v>
      </c>
      <c r="G76" s="31" t="s">
        <v>495</v>
      </c>
      <c r="H76" s="31" t="s">
        <v>89</v>
      </c>
    </row>
    <row r="77" customFormat="false" ht="15" hidden="false" customHeight="false" outlineLevel="0" collapsed="false">
      <c r="B77" s="50" t="s">
        <v>592</v>
      </c>
      <c r="C77" s="11" t="s">
        <v>593</v>
      </c>
      <c r="D77" s="31" t="n">
        <v>20</v>
      </c>
      <c r="E77" s="31" t="n">
        <v>20</v>
      </c>
      <c r="F77" s="31" t="n">
        <v>20</v>
      </c>
      <c r="G77" s="31"/>
      <c r="H77" s="31" t="n">
        <v>20</v>
      </c>
    </row>
    <row r="78" customFormat="false" ht="15" hidden="false" customHeight="false" outlineLevel="0" collapsed="false">
      <c r="B78" s="50" t="s">
        <v>594</v>
      </c>
      <c r="C78" s="11" t="s">
        <v>595</v>
      </c>
      <c r="D78" s="31" t="s">
        <v>89</v>
      </c>
      <c r="E78" s="31" t="s">
        <v>89</v>
      </c>
      <c r="F78" s="31" t="s">
        <v>89</v>
      </c>
      <c r="G78" s="31" t="s">
        <v>495</v>
      </c>
      <c r="H78" s="31" t="s">
        <v>89</v>
      </c>
    </row>
    <row r="79" customFormat="false" ht="15" hidden="false" customHeight="false" outlineLevel="0" collapsed="false">
      <c r="B79" s="50" t="s">
        <v>596</v>
      </c>
      <c r="C79" s="11" t="s">
        <v>597</v>
      </c>
      <c r="D79" s="31" t="n">
        <v>50</v>
      </c>
      <c r="E79" s="31" t="n">
        <v>50</v>
      </c>
      <c r="F79" s="31" t="n">
        <v>50</v>
      </c>
      <c r="G79" s="31"/>
      <c r="H79" s="31" t="n">
        <v>50</v>
      </c>
    </row>
    <row r="80" customFormat="false" ht="15" hidden="false" customHeight="false" outlineLevel="0" collapsed="false">
      <c r="B80" s="50" t="s">
        <v>598</v>
      </c>
      <c r="C80" s="11" t="s">
        <v>599</v>
      </c>
      <c r="D80" s="31" t="s">
        <v>89</v>
      </c>
      <c r="E80" s="31" t="s">
        <v>89</v>
      </c>
      <c r="F80" s="31" t="s">
        <v>89</v>
      </c>
      <c r="G80" s="31" t="s">
        <v>89</v>
      </c>
      <c r="H80" s="31" t="s">
        <v>89</v>
      </c>
    </row>
    <row r="81" customFormat="false" ht="15" hidden="false" customHeight="false" outlineLevel="0" collapsed="false">
      <c r="B81" s="50" t="s">
        <v>600</v>
      </c>
      <c r="C81" s="11" t="s">
        <v>601</v>
      </c>
      <c r="D81" s="31" t="n">
        <v>75</v>
      </c>
      <c r="E81" s="31" t="n">
        <v>75</v>
      </c>
      <c r="F81" s="31" t="n">
        <v>75</v>
      </c>
      <c r="G81" s="31" t="n">
        <v>75</v>
      </c>
      <c r="H81" s="31" t="n">
        <v>75</v>
      </c>
    </row>
    <row r="82" customFormat="false" ht="15" hidden="false" customHeight="false" outlineLevel="0" collapsed="false">
      <c r="B82" s="50" t="s">
        <v>602</v>
      </c>
      <c r="C82" s="11" t="s">
        <v>603</v>
      </c>
      <c r="D82" s="31" t="s">
        <v>89</v>
      </c>
      <c r="E82" s="31" t="s">
        <v>89</v>
      </c>
      <c r="F82" s="31" t="s">
        <v>89</v>
      </c>
      <c r="G82" s="31" t="s">
        <v>89</v>
      </c>
      <c r="H82" s="31" t="s">
        <v>89</v>
      </c>
    </row>
    <row r="83" customFormat="false" ht="15" hidden="false" customHeight="false" outlineLevel="0" collapsed="false">
      <c r="B83" s="50" t="s">
        <v>604</v>
      </c>
      <c r="C83" s="11" t="s">
        <v>605</v>
      </c>
      <c r="D83" s="31" t="n">
        <v>50</v>
      </c>
      <c r="E83" s="31" t="n">
        <v>50</v>
      </c>
      <c r="F83" s="31" t="n">
        <v>50</v>
      </c>
      <c r="G83" s="31" t="n">
        <v>50</v>
      </c>
      <c r="H83" s="31" t="n">
        <v>50</v>
      </c>
    </row>
    <row r="84" customFormat="false" ht="15" hidden="false" customHeight="false" outlineLevel="0" collapsed="false">
      <c r="B84" s="50" t="s">
        <v>606</v>
      </c>
      <c r="C84" s="11" t="s">
        <v>607</v>
      </c>
      <c r="D84" s="31" t="s">
        <v>89</v>
      </c>
      <c r="E84" s="31" t="s">
        <v>89</v>
      </c>
      <c r="F84" s="31" t="s">
        <v>89</v>
      </c>
      <c r="G84" s="31" t="s">
        <v>89</v>
      </c>
      <c r="H84" s="31" t="s">
        <v>89</v>
      </c>
    </row>
    <row r="85" customFormat="false" ht="15" hidden="false" customHeight="false" outlineLevel="0" collapsed="false">
      <c r="B85" s="50" t="s">
        <v>608</v>
      </c>
      <c r="C85" s="11" t="s">
        <v>609</v>
      </c>
      <c r="D85" s="31" t="n">
        <v>50</v>
      </c>
      <c r="E85" s="31" t="n">
        <v>50</v>
      </c>
      <c r="F85" s="31" t="n">
        <v>50</v>
      </c>
      <c r="G85" s="31" t="n">
        <v>50</v>
      </c>
      <c r="H85" s="31" t="n">
        <v>50</v>
      </c>
    </row>
    <row r="86" customFormat="false" ht="15" hidden="false" customHeight="false" outlineLevel="0" collapsed="false">
      <c r="B86" s="50" t="s">
        <v>610</v>
      </c>
      <c r="C86" s="11" t="s">
        <v>611</v>
      </c>
      <c r="D86" s="31" t="s">
        <v>89</v>
      </c>
      <c r="E86" s="31" t="s">
        <v>89</v>
      </c>
      <c r="F86" s="31" t="s">
        <v>89</v>
      </c>
      <c r="G86" s="31" t="s">
        <v>89</v>
      </c>
      <c r="H86" s="31" t="s">
        <v>89</v>
      </c>
    </row>
    <row r="87" customFormat="false" ht="15" hidden="false" customHeight="false" outlineLevel="0" collapsed="false">
      <c r="B87" s="50" t="s">
        <v>612</v>
      </c>
      <c r="C87" s="11" t="s">
        <v>613</v>
      </c>
      <c r="D87" s="31" t="n">
        <v>75</v>
      </c>
      <c r="E87" s="31" t="n">
        <v>75</v>
      </c>
      <c r="F87" s="31" t="n">
        <v>75</v>
      </c>
      <c r="G87" s="31" t="n">
        <v>75</v>
      </c>
      <c r="H87" s="31" t="n">
        <v>75</v>
      </c>
    </row>
    <row r="88" customFormat="false" ht="15" hidden="false" customHeight="false" outlineLevel="0" collapsed="false">
      <c r="B88" s="50" t="s">
        <v>614</v>
      </c>
      <c r="C88" s="11" t="s">
        <v>615</v>
      </c>
      <c r="D88" s="31" t="s">
        <v>89</v>
      </c>
      <c r="E88" s="31" t="s">
        <v>89</v>
      </c>
      <c r="F88" s="31" t="s">
        <v>89</v>
      </c>
      <c r="G88" s="31" t="s">
        <v>89</v>
      </c>
      <c r="H88" s="31" t="s">
        <v>89</v>
      </c>
    </row>
    <row r="89" customFormat="false" ht="15" hidden="false" customHeight="false" outlineLevel="0" collapsed="false">
      <c r="B89" s="50" t="s">
        <v>616</v>
      </c>
      <c r="C89" s="11" t="s">
        <v>617</v>
      </c>
      <c r="D89" s="31" t="n">
        <v>50</v>
      </c>
      <c r="E89" s="31" t="n">
        <v>50</v>
      </c>
      <c r="F89" s="31" t="n">
        <v>50</v>
      </c>
      <c r="G89" s="31" t="n">
        <v>50</v>
      </c>
      <c r="H89" s="31" t="n">
        <v>50</v>
      </c>
    </row>
    <row r="90" customFormat="false" ht="15" hidden="false" customHeight="false" outlineLevel="0" collapsed="false">
      <c r="B90" s="50" t="s">
        <v>618</v>
      </c>
      <c r="C90" s="11" t="s">
        <v>619</v>
      </c>
      <c r="D90" s="31" t="s">
        <v>89</v>
      </c>
      <c r="E90" s="31" t="s">
        <v>89</v>
      </c>
      <c r="F90" s="31" t="s">
        <v>89</v>
      </c>
      <c r="G90" s="31" t="s">
        <v>89</v>
      </c>
      <c r="H90" s="31" t="s">
        <v>89</v>
      </c>
    </row>
    <row r="91" customFormat="false" ht="15" hidden="false" customHeight="false" outlineLevel="0" collapsed="false">
      <c r="B91" s="50" t="s">
        <v>620</v>
      </c>
      <c r="C91" s="11" t="s">
        <v>621</v>
      </c>
      <c r="D91" s="31" t="n">
        <v>75</v>
      </c>
      <c r="E91" s="31" t="n">
        <v>50</v>
      </c>
      <c r="F91" s="31" t="n">
        <v>50</v>
      </c>
      <c r="G91" s="31" t="n">
        <v>50</v>
      </c>
      <c r="H91" s="31" t="n">
        <v>50</v>
      </c>
    </row>
    <row r="92" customFormat="false" ht="15" hidden="false" customHeight="false" outlineLevel="0" collapsed="false">
      <c r="B92" s="50" t="s">
        <v>622</v>
      </c>
      <c r="C92" s="11" t="s">
        <v>623</v>
      </c>
      <c r="D92" s="31" t="s">
        <v>89</v>
      </c>
      <c r="E92" s="31" t="s">
        <v>89</v>
      </c>
      <c r="F92" s="31" t="s">
        <v>89</v>
      </c>
      <c r="G92" s="31" t="s">
        <v>89</v>
      </c>
      <c r="H92" s="31" t="s">
        <v>89</v>
      </c>
    </row>
    <row r="93" customFormat="false" ht="15" hidden="false" customHeight="false" outlineLevel="0" collapsed="false">
      <c r="B93" s="50" t="s">
        <v>624</v>
      </c>
      <c r="C93" s="11" t="s">
        <v>625</v>
      </c>
      <c r="D93" s="31" t="n">
        <v>75</v>
      </c>
      <c r="E93" s="31" t="n">
        <v>75</v>
      </c>
      <c r="F93" s="31" t="n">
        <v>75</v>
      </c>
      <c r="G93" s="31" t="n">
        <v>75</v>
      </c>
      <c r="H93" s="31" t="n">
        <v>75</v>
      </c>
    </row>
    <row r="94" customFormat="false" ht="15" hidden="false" customHeight="false" outlineLevel="0" collapsed="false">
      <c r="B94" s="50" t="s">
        <v>626</v>
      </c>
      <c r="C94" s="11" t="s">
        <v>627</v>
      </c>
      <c r="D94" s="31" t="s">
        <v>89</v>
      </c>
      <c r="E94" s="31" t="s">
        <v>89</v>
      </c>
      <c r="F94" s="31" t="s">
        <v>89</v>
      </c>
      <c r="G94" s="31" t="s">
        <v>89</v>
      </c>
      <c r="H94" s="31" t="s">
        <v>89</v>
      </c>
    </row>
    <row r="95" customFormat="false" ht="15" hidden="false" customHeight="false" outlineLevel="0" collapsed="false">
      <c r="B95" s="50" t="s">
        <v>628</v>
      </c>
      <c r="C95" s="11" t="s">
        <v>629</v>
      </c>
      <c r="D95" s="31" t="n">
        <v>50</v>
      </c>
      <c r="E95" s="31" t="n">
        <v>50</v>
      </c>
      <c r="F95" s="31" t="n">
        <v>50</v>
      </c>
      <c r="G95" s="31" t="n">
        <v>50</v>
      </c>
      <c r="H95" s="31" t="n">
        <v>50</v>
      </c>
    </row>
    <row r="96" customFormat="false" ht="15" hidden="false" customHeight="false" outlineLevel="0" collapsed="false">
      <c r="B96" s="50" t="s">
        <v>630</v>
      </c>
      <c r="C96" s="11" t="s">
        <v>631</v>
      </c>
      <c r="D96" s="31" t="s">
        <v>89</v>
      </c>
      <c r="E96" s="31" t="s">
        <v>89</v>
      </c>
      <c r="F96" s="31" t="s">
        <v>89</v>
      </c>
      <c r="G96" s="31" t="s">
        <v>89</v>
      </c>
      <c r="H96" s="31" t="s">
        <v>89</v>
      </c>
    </row>
    <row r="97" customFormat="false" ht="15" hidden="false" customHeight="false" outlineLevel="0" collapsed="false">
      <c r="B97" s="50" t="s">
        <v>632</v>
      </c>
      <c r="C97" s="11" t="s">
        <v>633</v>
      </c>
      <c r="D97" s="31" t="n">
        <v>75</v>
      </c>
      <c r="E97" s="31" t="n">
        <v>75</v>
      </c>
      <c r="F97" s="31" t="n">
        <v>75</v>
      </c>
      <c r="G97" s="31" t="n">
        <v>75</v>
      </c>
      <c r="H97" s="31" t="n">
        <v>75</v>
      </c>
    </row>
    <row r="98" customFormat="false" ht="15" hidden="false" customHeight="false" outlineLevel="0" collapsed="false">
      <c r="B98" s="50" t="s">
        <v>634</v>
      </c>
      <c r="C98" s="11" t="s">
        <v>635</v>
      </c>
      <c r="D98" s="31" t="s">
        <v>89</v>
      </c>
      <c r="E98" s="31" t="s">
        <v>89</v>
      </c>
      <c r="F98" s="31" t="s">
        <v>89</v>
      </c>
      <c r="G98" s="31" t="s">
        <v>89</v>
      </c>
      <c r="H98" s="31" t="s">
        <v>89</v>
      </c>
    </row>
    <row r="99" customFormat="false" ht="15" hidden="false" customHeight="false" outlineLevel="0" collapsed="false">
      <c r="B99" s="50" t="s">
        <v>636</v>
      </c>
      <c r="C99" s="11" t="s">
        <v>637</v>
      </c>
      <c r="D99" s="31" t="n">
        <v>50</v>
      </c>
      <c r="E99" s="31" t="n">
        <v>50</v>
      </c>
      <c r="F99" s="31" t="n">
        <v>50</v>
      </c>
      <c r="G99" s="31" t="n">
        <v>50</v>
      </c>
      <c r="H99" s="31" t="n">
        <v>50</v>
      </c>
    </row>
    <row r="100" customFormat="false" ht="15" hidden="false" customHeight="false" outlineLevel="0" collapsed="false">
      <c r="B100" s="50" t="s">
        <v>638</v>
      </c>
      <c r="C100" s="11" t="s">
        <v>639</v>
      </c>
      <c r="D100" s="31" t="s">
        <v>89</v>
      </c>
      <c r="E100" s="31" t="s">
        <v>89</v>
      </c>
      <c r="F100" s="31" t="s">
        <v>89</v>
      </c>
      <c r="G100" s="31" t="s">
        <v>89</v>
      </c>
      <c r="H100" s="31" t="s">
        <v>89</v>
      </c>
    </row>
    <row r="101" customFormat="false" ht="15" hidden="false" customHeight="false" outlineLevel="0" collapsed="false">
      <c r="B101" s="50" t="s">
        <v>640</v>
      </c>
      <c r="C101" s="11" t="s">
        <v>641</v>
      </c>
      <c r="D101" s="31" t="n">
        <v>100</v>
      </c>
      <c r="E101" s="31" t="n">
        <v>75</v>
      </c>
      <c r="F101" s="31" t="n">
        <v>75</v>
      </c>
      <c r="G101" s="31" t="n">
        <v>75</v>
      </c>
      <c r="H101" s="31" t="n">
        <v>75</v>
      </c>
    </row>
    <row r="102" customFormat="false" ht="15" hidden="false" customHeight="false" outlineLevel="0" collapsed="false">
      <c r="B102" s="50" t="s">
        <v>642</v>
      </c>
      <c r="C102" s="11" t="s">
        <v>643</v>
      </c>
      <c r="D102" s="31" t="s">
        <v>89</v>
      </c>
      <c r="E102" s="31" t="s">
        <v>89</v>
      </c>
      <c r="F102" s="31" t="s">
        <v>89</v>
      </c>
      <c r="G102" s="31" t="s">
        <v>89</v>
      </c>
      <c r="H102" s="31" t="s">
        <v>89</v>
      </c>
    </row>
    <row r="103" customFormat="false" ht="15" hidden="false" customHeight="false" outlineLevel="0" collapsed="false">
      <c r="B103" s="50" t="s">
        <v>644</v>
      </c>
      <c r="C103" s="11" t="s">
        <v>645</v>
      </c>
      <c r="D103" s="31" t="n">
        <v>100</v>
      </c>
      <c r="E103" s="31" t="n">
        <v>100</v>
      </c>
      <c r="F103" s="31" t="n">
        <v>100</v>
      </c>
      <c r="G103" s="31" t="n">
        <v>100</v>
      </c>
      <c r="H103" s="31" t="n">
        <v>100</v>
      </c>
    </row>
    <row r="104" customFormat="false" ht="15" hidden="false" customHeight="false" outlineLevel="0" collapsed="false">
      <c r="B104" s="50" t="s">
        <v>646</v>
      </c>
      <c r="C104" s="11" t="s">
        <v>647</v>
      </c>
      <c r="D104" s="31" t="s">
        <v>89</v>
      </c>
      <c r="E104" s="31" t="s">
        <v>89</v>
      </c>
      <c r="F104" s="31" t="s">
        <v>89</v>
      </c>
      <c r="G104" s="31" t="s">
        <v>89</v>
      </c>
      <c r="H104" s="31" t="s">
        <v>89</v>
      </c>
    </row>
    <row r="105" customFormat="false" ht="15" hidden="false" customHeight="false" outlineLevel="0" collapsed="false">
      <c r="B105" s="50" t="s">
        <v>648</v>
      </c>
      <c r="C105" s="11" t="s">
        <v>649</v>
      </c>
      <c r="D105" s="31" t="n">
        <v>1</v>
      </c>
      <c r="E105" s="31" t="n">
        <v>1</v>
      </c>
      <c r="F105" s="31" t="n">
        <v>1</v>
      </c>
      <c r="G105" s="31" t="n">
        <v>1</v>
      </c>
      <c r="H105" s="31" t="n">
        <v>1</v>
      </c>
    </row>
    <row r="106" customFormat="false" ht="15" hidden="false" customHeight="false" outlineLevel="0" collapsed="false">
      <c r="B106" s="50" t="s">
        <v>650</v>
      </c>
      <c r="C106" s="11" t="s">
        <v>651</v>
      </c>
      <c r="D106" s="31" t="s">
        <v>89</v>
      </c>
      <c r="E106" s="31" t="s">
        <v>89</v>
      </c>
      <c r="F106" s="31" t="s">
        <v>89</v>
      </c>
      <c r="G106" s="31" t="s">
        <v>89</v>
      </c>
      <c r="H106" s="31" t="s">
        <v>89</v>
      </c>
    </row>
    <row r="107" customFormat="false" ht="15" hidden="false" customHeight="false" outlineLevel="0" collapsed="false">
      <c r="B107" s="50" t="s">
        <v>652</v>
      </c>
      <c r="C107" s="11" t="s">
        <v>653</v>
      </c>
      <c r="D107" s="31" t="n">
        <v>75</v>
      </c>
      <c r="E107" s="31" t="n">
        <v>75</v>
      </c>
      <c r="F107" s="31" t="n">
        <v>75</v>
      </c>
      <c r="G107" s="31" t="n">
        <v>75</v>
      </c>
      <c r="H107" s="31" t="n">
        <v>75</v>
      </c>
    </row>
    <row r="108" customFormat="false" ht="15" hidden="false" customHeight="false" outlineLevel="0" collapsed="false">
      <c r="B108" s="50" t="s">
        <v>654</v>
      </c>
      <c r="C108" s="11" t="s">
        <v>655</v>
      </c>
      <c r="D108" s="31" t="s">
        <v>89</v>
      </c>
      <c r="E108" s="31" t="s">
        <v>89</v>
      </c>
      <c r="F108" s="31" t="s">
        <v>89</v>
      </c>
      <c r="G108" s="31" t="s">
        <v>89</v>
      </c>
      <c r="H108" s="31" t="s">
        <v>89</v>
      </c>
    </row>
    <row r="109" customFormat="false" ht="15" hidden="false" customHeight="false" outlineLevel="0" collapsed="false">
      <c r="B109" s="50" t="s">
        <v>656</v>
      </c>
      <c r="C109" s="11" t="s">
        <v>657</v>
      </c>
      <c r="D109" s="31" t="n">
        <v>75</v>
      </c>
      <c r="E109" s="31" t="n">
        <v>75</v>
      </c>
      <c r="F109" s="31" t="n">
        <v>75</v>
      </c>
      <c r="G109" s="31" t="n">
        <v>75</v>
      </c>
      <c r="H109" s="31" t="n">
        <v>75</v>
      </c>
    </row>
    <row r="110" customFormat="false" ht="15" hidden="false" customHeight="false" outlineLevel="0" collapsed="false">
      <c r="B110" s="50" t="s">
        <v>658</v>
      </c>
      <c r="C110" s="11" t="s">
        <v>659</v>
      </c>
      <c r="D110" s="31" t="s">
        <v>89</v>
      </c>
      <c r="E110" s="31" t="s">
        <v>89</v>
      </c>
      <c r="F110" s="31" t="s">
        <v>89</v>
      </c>
      <c r="G110" s="31" t="s">
        <v>89</v>
      </c>
      <c r="H110" s="31" t="s">
        <v>89</v>
      </c>
    </row>
    <row r="111" customFormat="false" ht="15" hidden="false" customHeight="false" outlineLevel="0" collapsed="false">
      <c r="B111" s="50" t="s">
        <v>660</v>
      </c>
      <c r="C111" s="11" t="s">
        <v>661</v>
      </c>
      <c r="D111" s="31" t="n">
        <v>50</v>
      </c>
      <c r="E111" s="31" t="n">
        <v>50</v>
      </c>
      <c r="F111" s="31" t="n">
        <v>50</v>
      </c>
      <c r="G111" s="31" t="n">
        <v>50</v>
      </c>
      <c r="H111" s="31" t="n">
        <v>50</v>
      </c>
    </row>
    <row r="112" customFormat="false" ht="15" hidden="false" customHeight="false" outlineLevel="0" collapsed="false">
      <c r="B112" s="50" t="s">
        <v>662</v>
      </c>
      <c r="C112" s="11" t="s">
        <v>663</v>
      </c>
      <c r="D112" s="31" t="s">
        <v>89</v>
      </c>
      <c r="E112" s="31" t="s">
        <v>89</v>
      </c>
      <c r="F112" s="31" t="s">
        <v>89</v>
      </c>
      <c r="G112" s="31" t="s">
        <v>89</v>
      </c>
      <c r="H112" s="31" t="s">
        <v>89</v>
      </c>
    </row>
    <row r="113" customFormat="false" ht="15" hidden="false" customHeight="false" outlineLevel="0" collapsed="false">
      <c r="B113" s="50" t="s">
        <v>664</v>
      </c>
      <c r="C113" s="11" t="s">
        <v>665</v>
      </c>
      <c r="D113" s="31" t="n">
        <v>50</v>
      </c>
      <c r="E113" s="31" t="n">
        <v>50</v>
      </c>
      <c r="F113" s="31" t="n">
        <v>50</v>
      </c>
      <c r="G113" s="31" t="n">
        <v>50</v>
      </c>
      <c r="H113" s="31" t="n">
        <v>50</v>
      </c>
    </row>
    <row r="114" customFormat="false" ht="15" hidden="false" customHeight="false" outlineLevel="0" collapsed="false">
      <c r="B114" s="50" t="s">
        <v>666</v>
      </c>
      <c r="C114" s="11" t="s">
        <v>667</v>
      </c>
      <c r="D114" s="31" t="s">
        <v>89</v>
      </c>
      <c r="E114" s="31" t="s">
        <v>89</v>
      </c>
      <c r="F114" s="31" t="s">
        <v>89</v>
      </c>
      <c r="G114" s="31" t="s">
        <v>89</v>
      </c>
      <c r="H114" s="31" t="s">
        <v>89</v>
      </c>
    </row>
    <row r="115" customFormat="false" ht="15" hidden="false" customHeight="false" outlineLevel="0" collapsed="false">
      <c r="B115" s="50" t="s">
        <v>668</v>
      </c>
      <c r="C115" s="11" t="s">
        <v>669</v>
      </c>
      <c r="D115" s="31" t="n">
        <v>75</v>
      </c>
      <c r="E115" s="31" t="n">
        <v>75</v>
      </c>
      <c r="F115" s="31" t="n">
        <v>75</v>
      </c>
      <c r="G115" s="31" t="n">
        <v>75</v>
      </c>
      <c r="H115" s="31" t="n">
        <v>75</v>
      </c>
    </row>
    <row r="116" customFormat="false" ht="15" hidden="false" customHeight="false" outlineLevel="0" collapsed="false">
      <c r="B116" s="50" t="s">
        <v>670</v>
      </c>
      <c r="C116" s="11" t="s">
        <v>671</v>
      </c>
      <c r="D116" s="31" t="s">
        <v>89</v>
      </c>
      <c r="E116" s="31" t="s">
        <v>89</v>
      </c>
      <c r="F116" s="31" t="s">
        <v>89</v>
      </c>
      <c r="G116" s="31" t="s">
        <v>89</v>
      </c>
      <c r="H116" s="31" t="s">
        <v>89</v>
      </c>
    </row>
    <row r="117" customFormat="false" ht="15" hidden="false" customHeight="false" outlineLevel="0" collapsed="false">
      <c r="B117" s="50" t="s">
        <v>672</v>
      </c>
      <c r="C117" s="11" t="s">
        <v>673</v>
      </c>
      <c r="D117" s="31" t="n">
        <v>50</v>
      </c>
      <c r="E117" s="31" t="n">
        <v>50</v>
      </c>
      <c r="F117" s="31" t="n">
        <v>50</v>
      </c>
      <c r="G117" s="31" t="n">
        <v>50</v>
      </c>
      <c r="H117" s="31" t="n">
        <v>50</v>
      </c>
    </row>
    <row r="119" customFormat="false" ht="15" hidden="false" customHeight="false" outlineLevel="0" collapsed="false">
      <c r="B119" s="9" t="s">
        <v>674</v>
      </c>
    </row>
    <row r="120" customFormat="false" ht="15" hidden="false" customHeight="false" outlineLevel="0" collapsed="false">
      <c r="B120" s="50" t="s">
        <v>675</v>
      </c>
      <c r="C120" s="11" t="s">
        <v>676</v>
      </c>
      <c r="D120" s="31" t="s">
        <v>677</v>
      </c>
      <c r="E120" s="31" t="s">
        <v>677</v>
      </c>
      <c r="F120" s="31" t="s">
        <v>677</v>
      </c>
      <c r="G120" s="31" t="s">
        <v>678</v>
      </c>
      <c r="H120" s="31" t="s">
        <v>679</v>
      </c>
    </row>
    <row r="121" customFormat="false" ht="15" hidden="false" customHeight="false" outlineLevel="0" collapsed="false">
      <c r="B121" s="50" t="s">
        <v>680</v>
      </c>
      <c r="C121" s="11" t="s">
        <v>681</v>
      </c>
      <c r="D121" s="34" t="n">
        <v>80.75</v>
      </c>
      <c r="E121" s="34" t="n">
        <v>59.31</v>
      </c>
      <c r="F121" s="34" t="n">
        <v>66.06</v>
      </c>
      <c r="G121" s="34" t="n">
        <v>46.19</v>
      </c>
      <c r="H121" s="34" t="n">
        <v>64.81</v>
      </c>
    </row>
    <row r="122" customFormat="false" ht="15" hidden="false" customHeight="false" outlineLevel="0" collapsed="false">
      <c r="B122" s="50" t="s">
        <v>682</v>
      </c>
      <c r="C122" s="11" t="s">
        <v>39</v>
      </c>
      <c r="D122" s="31" t="s">
        <v>232</v>
      </c>
      <c r="E122" s="31" t="s">
        <v>238</v>
      </c>
      <c r="F122" s="31" t="s">
        <v>236</v>
      </c>
      <c r="G122" s="31" t="s">
        <v>683</v>
      </c>
      <c r="H122" s="31" t="s">
        <v>236</v>
      </c>
    </row>
    <row r="123" customFormat="false" ht="15" hidden="false" customHeight="false" outlineLevel="0" collapsed="false">
      <c r="B123" s="50" t="s">
        <v>684</v>
      </c>
      <c r="C123" s="11" t="s">
        <v>34</v>
      </c>
      <c r="D123" s="31" t="s">
        <v>232</v>
      </c>
      <c r="E123" s="31" t="s">
        <v>238</v>
      </c>
      <c r="F123" s="31" t="s">
        <v>240</v>
      </c>
      <c r="G123" s="31" t="s">
        <v>683</v>
      </c>
      <c r="H123" s="31" t="s">
        <v>61</v>
      </c>
    </row>
    <row r="124" customFormat="false" ht="15" hidden="false" customHeight="false" outlineLevel="0" collapsed="false">
      <c r="B124" s="50" t="s">
        <v>685</v>
      </c>
      <c r="C124" s="11" t="s">
        <v>686</v>
      </c>
      <c r="D124" s="33" t="n">
        <v>1</v>
      </c>
      <c r="E124" s="33" t="n">
        <v>1</v>
      </c>
      <c r="F124" s="33" t="n">
        <v>1</v>
      </c>
      <c r="G124" s="33" t="n">
        <v>0.46</v>
      </c>
      <c r="H124" s="33" t="n">
        <v>1</v>
      </c>
    </row>
    <row r="125" customFormat="false" ht="150" hidden="false" customHeight="true" outlineLevel="0" collapsed="false">
      <c r="B125" s="50" t="s">
        <v>687</v>
      </c>
      <c r="C125" s="11" t="s">
        <v>688</v>
      </c>
      <c r="D125" s="4" t="s">
        <v>689</v>
      </c>
      <c r="E125" s="4" t="s">
        <v>690</v>
      </c>
      <c r="F125" s="4" t="s">
        <v>691</v>
      </c>
      <c r="G125" s="4" t="s">
        <v>692</v>
      </c>
      <c r="H125" s="4" t="s">
        <v>693</v>
      </c>
    </row>
  </sheetData>
  <mergeCells count="2">
    <mergeCell ref="B1:H1"/>
    <mergeCell ref="B2:H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2026-10-28T06:31:38Z</dcterms:created>
  <dc:creator>openpyxl</dc:creator>
  <dc:description/>
  <dc:language>en-US</dc:language>
  <cp:lastModifiedBy/>
  <dcterms:modified xsi:type="dcterms:W3CDTF">2026-10-28T06:31:38Z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